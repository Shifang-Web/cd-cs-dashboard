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个人\"/>
    </mc:Choice>
  </mc:AlternateContent>
  <bookViews>
    <workbookView windowWidth="19200" windowHeight="7140" tabRatio="902" activeTab="2"/>
  </bookViews>
  <sheets>
    <sheet name="防汛" sheetId="3" r:id="rId1"/>
    <sheet name="消防" sheetId="20" r:id="rId2"/>
    <sheet name="治安" sheetId="21" r:id="rId3"/>
  </sheets>
  <definedNames>
    <definedName name="_xlnm._FilterDatabase" localSheetId="0" hidden="1">防汛!$A$1:$N$124</definedName>
    <definedName name="_xlnm._FilterDatabase" localSheetId="1" hidden="1">消防!$A$1:$M$124</definedName>
    <definedName name="_xlnm._FilterDatabase" localSheetId="2" hidden="1">治安!$A$1:$O$124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<sst xmlns="http://schemas.openxmlformats.org/spreadsheetml/2006/main" count="3734" uniqueCount="465">
  <si>
    <t>项目名称</t>
  </si>
  <si>
    <t>蝶城</t>
  </si>
  <si>
    <t>项目主管</t>
  </si>
  <si>
    <t>片区</t>
  </si>
  <si>
    <t>运维</t>
  </si>
  <si>
    <t>服务站</t>
  </si>
  <si>
    <t>机电负责人</t>
  </si>
  <si>
    <t>防汛风险等级</t>
  </si>
  <si>
    <t>经度</t>
  </si>
  <si>
    <t>纬度</t>
  </si>
  <si>
    <t>风险描述</t>
  </si>
  <si>
    <t>历史进水原因</t>
  </si>
  <si>
    <t>项目地势低洼</t>
  </si>
  <si>
    <t>存在市政返涌/倒灌隐患造成积水</t>
  </si>
  <si>
    <t>成都魅力之城</t>
  </si>
  <si>
    <t>CD001成都保和蝶城</t>
  </si>
  <si>
    <t>张小强、黄生建</t>
  </si>
  <si>
    <t>H51</t>
  </si>
  <si>
    <t>刘宇辉</t>
  </si>
  <si>
    <t>李玲</t>
  </si>
  <si>
    <t>黎冠辰</t>
  </si>
  <si>
    <t>高风险</t>
  </si>
  <si>
    <t>四期监控室外+三期雨水倒灌</t>
  </si>
  <si>
    <t>市政排水管网不畅返水, 不涉及</t>
  </si>
  <si>
    <t>地势较高积水风险低</t>
  </si>
  <si>
    <t>无市政倒灌风险</t>
  </si>
  <si>
    <t>成都金色城品</t>
  </si>
  <si>
    <t>刘飞</t>
  </si>
  <si>
    <t>低风险</t>
  </si>
  <si>
    <t>无进水，不涉及</t>
  </si>
  <si>
    <t>不涉及</t>
  </si>
  <si>
    <t>成都首创国际城</t>
  </si>
  <si>
    <t>邓仲罕</t>
  </si>
  <si>
    <t>二期5栋负二楼反水</t>
  </si>
  <si>
    <t>项目排水管网不畅</t>
  </si>
  <si>
    <t>成都城市花园</t>
  </si>
  <si>
    <t>CD002成都成龙路蝶城</t>
  </si>
  <si>
    <t>刘忠</t>
  </si>
  <si>
    <t>吴仁斌</t>
  </si>
  <si>
    <t>61栋市政反水</t>
  </si>
  <si>
    <t>地库伸缩缝漏水</t>
  </si>
  <si>
    <t>成都金润华府</t>
  </si>
  <si>
    <t>刘华林</t>
  </si>
  <si>
    <t>车库出入口进水</t>
  </si>
  <si>
    <t>成都首创娇子台小区</t>
  </si>
  <si>
    <t>蒋勇</t>
  </si>
  <si>
    <t>成都卓锦城五期</t>
  </si>
  <si>
    <t>周源君</t>
  </si>
  <si>
    <t>李江</t>
  </si>
  <si>
    <t>成都卓锦城六期</t>
  </si>
  <si>
    <t>杨桂康</t>
  </si>
  <si>
    <t>成都卓锦城四期</t>
  </si>
  <si>
    <t>成都蓝谷地A区</t>
  </si>
  <si>
    <t>秦国华</t>
  </si>
  <si>
    <t>2号车库反水</t>
  </si>
  <si>
    <t>市政排水管网不畅返水</t>
  </si>
  <si>
    <t>地势低洼易积水</t>
  </si>
  <si>
    <t>成都金色海蓉</t>
  </si>
  <si>
    <t>李海</t>
  </si>
  <si>
    <t>成都金色领域</t>
  </si>
  <si>
    <t>CD003成都苏坡蝶城</t>
  </si>
  <si>
    <t>王俊</t>
  </si>
  <si>
    <t>H53</t>
  </si>
  <si>
    <t>李婷</t>
  </si>
  <si>
    <t>宋展</t>
  </si>
  <si>
    <t>地库反水</t>
  </si>
  <si>
    <t>市政倒灌风险高</t>
  </si>
  <si>
    <t>成都米兰香洲</t>
  </si>
  <si>
    <t>赵川雄</t>
  </si>
  <si>
    <t>成都中大君悦金沙五期</t>
  </si>
  <si>
    <t>鲜荣章</t>
  </si>
  <si>
    <t>成都锦绣光华</t>
  </si>
  <si>
    <t>宋如鸿</t>
  </si>
  <si>
    <t>成都万科理想城</t>
  </si>
  <si>
    <t>CD004成都犀浦蝶城</t>
  </si>
  <si>
    <t>杨远刚</t>
  </si>
  <si>
    <t>雷展文</t>
  </si>
  <si>
    <t>成都伊萨贝拉</t>
  </si>
  <si>
    <t>王碧珑</t>
  </si>
  <si>
    <t>成都御园丰锦</t>
  </si>
  <si>
    <t>街区住宅项目</t>
  </si>
  <si>
    <t>刘凯</t>
  </si>
  <si>
    <t>成都金域名邸</t>
  </si>
  <si>
    <t>CD005成都石羊蝶城</t>
  </si>
  <si>
    <t>庄万均</t>
  </si>
  <si>
    <t>H54</t>
  </si>
  <si>
    <t>林波</t>
  </si>
  <si>
    <t>杨微</t>
  </si>
  <si>
    <t>韩杰伟</t>
  </si>
  <si>
    <t>成都公园5号</t>
  </si>
  <si>
    <t>党兵</t>
  </si>
  <si>
    <t>成都北辰香麓</t>
  </si>
  <si>
    <t>杨兴才</t>
  </si>
  <si>
    <t>成都英郡三期</t>
  </si>
  <si>
    <t>唐兴坤</t>
  </si>
  <si>
    <t>成都英郡二期</t>
  </si>
  <si>
    <t>成都高新区英郡一期小区</t>
  </si>
  <si>
    <t>周磊</t>
  </si>
  <si>
    <t/>
  </si>
  <si>
    <t>成都华府西苑</t>
  </si>
  <si>
    <t>罗世建</t>
  </si>
  <si>
    <t>成都高新区远大·都市风景一期</t>
  </si>
  <si>
    <t>邓延明</t>
  </si>
  <si>
    <t>成都高新区远大都市风景二期·风景2006</t>
  </si>
  <si>
    <t>向继刚</t>
  </si>
  <si>
    <t>成都市高新区旭和·蓝花楹</t>
  </si>
  <si>
    <t>成都百悦名城</t>
  </si>
  <si>
    <t>CD006成都大面蝶城</t>
  </si>
  <si>
    <t>李雷</t>
  </si>
  <si>
    <t>H52</t>
  </si>
  <si>
    <t>胡涛</t>
  </si>
  <si>
    <t>莫春兰</t>
  </si>
  <si>
    <t>周强</t>
  </si>
  <si>
    <t>成都北辰·南湖香麓</t>
  </si>
  <si>
    <t>CD007成都华阳蝶城</t>
  </si>
  <si>
    <t>唐海洲</t>
  </si>
  <si>
    <t>H55</t>
  </si>
  <si>
    <t>李涛</t>
  </si>
  <si>
    <t>成都万科.翡翠公园</t>
  </si>
  <si>
    <t>李贵川</t>
  </si>
  <si>
    <t>成都万科君逸</t>
  </si>
  <si>
    <t>彭胜</t>
  </si>
  <si>
    <t>成都禧瑞锦江</t>
  </si>
  <si>
    <t>刘波</t>
  </si>
  <si>
    <t>成都湖岸名邸</t>
  </si>
  <si>
    <t>叶旺</t>
  </si>
  <si>
    <t>成都首开琅樾名邸</t>
  </si>
  <si>
    <t>廖莘棚</t>
  </si>
  <si>
    <t>成都万科·翡翠公园6#地块集中商业</t>
  </si>
  <si>
    <t>成都万科城</t>
  </si>
  <si>
    <t>CD008成都犀浦南蝶城</t>
  </si>
  <si>
    <t>秦建</t>
  </si>
  <si>
    <t>张滔</t>
  </si>
  <si>
    <t>园区低洼处积水</t>
  </si>
  <si>
    <t>成都学林雅苑</t>
  </si>
  <si>
    <t>成都万科玖西堂</t>
  </si>
  <si>
    <t>张豫</t>
  </si>
  <si>
    <t>成都君临天下</t>
  </si>
  <si>
    <t>蒋职泽</t>
  </si>
  <si>
    <t>成都万科城臻园</t>
  </si>
  <si>
    <t>黄尚涛</t>
  </si>
  <si>
    <t>成都双水岸</t>
  </si>
  <si>
    <t>CD009成都新都蝶城</t>
  </si>
  <si>
    <t>严育辉</t>
  </si>
  <si>
    <t>H58</t>
  </si>
  <si>
    <t>温兴涛</t>
  </si>
  <si>
    <t>雨水倒灌进地下室</t>
  </si>
  <si>
    <t>水位超过地库出入口防洪挡板或冲垮</t>
  </si>
  <si>
    <t>成都五龙山</t>
  </si>
  <si>
    <t>曾礼林</t>
  </si>
  <si>
    <t>园区低洼处</t>
  </si>
  <si>
    <t>成都金域缇香</t>
  </si>
  <si>
    <t>杨万礼</t>
  </si>
  <si>
    <t>成都万科翡翠郡</t>
  </si>
  <si>
    <t>汤贵</t>
  </si>
  <si>
    <t>成都万科蓝山郡</t>
  </si>
  <si>
    <t>成都缇香荟郡</t>
  </si>
  <si>
    <t>成都万科第五城北区</t>
  </si>
  <si>
    <t>CD010成都九江蝶城</t>
  </si>
  <si>
    <t>李坤</t>
  </si>
  <si>
    <t>朱光文</t>
  </si>
  <si>
    <t>成都万科第五城南区</t>
  </si>
  <si>
    <t>辜志勇</t>
  </si>
  <si>
    <t>成都海悦汇城西区</t>
  </si>
  <si>
    <t>CD011成都海悦汇城蝶城</t>
  </si>
  <si>
    <t>廖里刚</t>
  </si>
  <si>
    <t>牟鑫涛</t>
  </si>
  <si>
    <t>市政倒灌风险中等</t>
  </si>
  <si>
    <t>成都海悦汇城东区</t>
  </si>
  <si>
    <t>汪宇轩</t>
  </si>
  <si>
    <t>成都宸光名邸</t>
  </si>
  <si>
    <t>王伟</t>
  </si>
  <si>
    <t>成都金域华府</t>
  </si>
  <si>
    <t>朱江</t>
  </si>
  <si>
    <t>地库集水井返涌, 地库穿墙管线</t>
  </si>
  <si>
    <t>成都万科时代之光</t>
  </si>
  <si>
    <t>CD013成都大湾蝶城</t>
  </si>
  <si>
    <t>曾建</t>
  </si>
  <si>
    <t>肖云鹏</t>
  </si>
  <si>
    <t>成都悦海园一期</t>
  </si>
  <si>
    <t>鲁伟</t>
  </si>
  <si>
    <t>成都林海园</t>
  </si>
  <si>
    <t>张宇</t>
  </si>
  <si>
    <t>成都金色城市</t>
  </si>
  <si>
    <t>CD012成都大面西蝶城</t>
  </si>
  <si>
    <t>吴朝平</t>
  </si>
  <si>
    <t>成都高线未来城（地块二、地块四）</t>
  </si>
  <si>
    <t>彭佳星</t>
  </si>
  <si>
    <t>成都高线未来城（地块五）</t>
  </si>
  <si>
    <t>成都高线未来城（地块六）</t>
  </si>
  <si>
    <t>地块三、地块六黑猫一号积水</t>
  </si>
  <si>
    <t>地面排水不流畅</t>
  </si>
  <si>
    <t>成都市高线未来城（地块七）</t>
  </si>
  <si>
    <t>成都市高线未来城（地块三）</t>
  </si>
  <si>
    <t>成都金色家园</t>
  </si>
  <si>
    <t>CD014成都春熙路蝶城</t>
  </si>
  <si>
    <t>张勇</t>
  </si>
  <si>
    <t>袁擘</t>
  </si>
  <si>
    <t>成都金域蓝湾</t>
  </si>
  <si>
    <t>吴雄飞</t>
  </si>
  <si>
    <t>成都首创天禧</t>
  </si>
  <si>
    <t>陈辉</t>
  </si>
  <si>
    <t>成都首创爱这城</t>
  </si>
  <si>
    <t>李明亮</t>
  </si>
  <si>
    <t>成都粼江峰阁</t>
  </si>
  <si>
    <t>谢鲜明</t>
  </si>
  <si>
    <t>成都蓉上坊小区</t>
  </si>
  <si>
    <t>云磊</t>
  </si>
  <si>
    <t>成都朗御大厦</t>
  </si>
  <si>
    <t>廖鑫</t>
  </si>
  <si>
    <t>成都公园都会</t>
  </si>
  <si>
    <t>CD015成都华阳东南蝶城</t>
  </si>
  <si>
    <t>杨松</t>
  </si>
  <si>
    <t>余贵明</t>
  </si>
  <si>
    <t>成都万科公园传奇</t>
  </si>
  <si>
    <t>周昌龙</t>
  </si>
  <si>
    <t>成都万科天府名邸</t>
  </si>
  <si>
    <t>吕超</t>
  </si>
  <si>
    <t>万科天府公园城悦庭</t>
  </si>
  <si>
    <t>刘洋</t>
  </si>
  <si>
    <t>万科天府华庭</t>
  </si>
  <si>
    <t>成都万科天府公园城5#地块</t>
  </si>
  <si>
    <t>成都万科·天府锦绣凌云天府</t>
  </si>
  <si>
    <t>熊林</t>
  </si>
  <si>
    <t>成都万科·天府锦绣臻院</t>
  </si>
  <si>
    <t>成都万科·天府锦绣萃院</t>
  </si>
  <si>
    <t>成都万科·天府锦绣</t>
  </si>
  <si>
    <t>成都加州湾</t>
  </si>
  <si>
    <t>CD016成都营门口蝶城</t>
  </si>
  <si>
    <t>李志强</t>
  </si>
  <si>
    <t>胡巍峰</t>
  </si>
  <si>
    <t>成都金域西岭</t>
  </si>
  <si>
    <t>陈枫岩</t>
  </si>
  <si>
    <t>地库集水井返涌</t>
  </si>
  <si>
    <t>成都国宾润园</t>
  </si>
  <si>
    <t>文挺</t>
  </si>
  <si>
    <t>成都锦西润园</t>
  </si>
  <si>
    <t>成都国宾蜀园</t>
  </si>
  <si>
    <t>王贵友</t>
  </si>
  <si>
    <t>中风险</t>
  </si>
  <si>
    <t>成都蜀园府邸</t>
  </si>
  <si>
    <t>昆明魅力之城一三期</t>
  </si>
  <si>
    <t>KM001昆明经开蝶城</t>
  </si>
  <si>
    <t>张晓明</t>
  </si>
  <si>
    <t>H57</t>
  </si>
  <si>
    <t>刘志明</t>
  </si>
  <si>
    <t>刘已清</t>
  </si>
  <si>
    <t>赵升德</t>
  </si>
  <si>
    <t>昆明魅力之城二四期</t>
  </si>
  <si>
    <t>昆明魅力之城五六期</t>
  </si>
  <si>
    <t>李玉勇</t>
  </si>
  <si>
    <t>昆明德润香山府</t>
  </si>
  <si>
    <t>KM002昆明红云蝶城</t>
  </si>
  <si>
    <t>施厚方</t>
  </si>
  <si>
    <t>H56</t>
  </si>
  <si>
    <t>赵飞</t>
  </si>
  <si>
    <t>和珉珺</t>
  </si>
  <si>
    <t>李文林</t>
  </si>
  <si>
    <t>昆明万科中天北宸</t>
  </si>
  <si>
    <t>杞亮</t>
  </si>
  <si>
    <t>昆明万彩城市花园A4地块</t>
  </si>
  <si>
    <t>安全撤场</t>
  </si>
  <si>
    <t>昆明德润春城花园</t>
  </si>
  <si>
    <t>KM003昆明龙泉北蝶城</t>
  </si>
  <si>
    <t>刘金华</t>
  </si>
  <si>
    <t>吴永明</t>
  </si>
  <si>
    <t>昆明骆驼湾</t>
  </si>
  <si>
    <t>吴观兴</t>
  </si>
  <si>
    <t>昆明金域水岸</t>
  </si>
  <si>
    <t>昆明首创禧悦春城</t>
  </si>
  <si>
    <t>陈荣辉</t>
  </si>
  <si>
    <t>昆明瑞鼎城一期</t>
  </si>
  <si>
    <t>KM004昆明东华蝶城</t>
  </si>
  <si>
    <t>李文鹏</t>
  </si>
  <si>
    <t>杨永贵</t>
  </si>
  <si>
    <t>昆明瑞鼎城二期</t>
  </si>
  <si>
    <t>昆明京江隐翠</t>
  </si>
  <si>
    <t>王兴华</t>
  </si>
  <si>
    <t>昆明云上城</t>
  </si>
  <si>
    <t>KM005昆明黑林铺蝶城</t>
  </si>
  <si>
    <t>邵鑫</t>
  </si>
  <si>
    <t>昆明金色领域</t>
  </si>
  <si>
    <t>徐晓祥</t>
  </si>
  <si>
    <t>冯良杰</t>
  </si>
  <si>
    <t>昆明鑫金花园</t>
  </si>
  <si>
    <t>徐建武</t>
  </si>
  <si>
    <t>昆明万科城</t>
  </si>
  <si>
    <t>王兴华、高鹏程</t>
  </si>
  <si>
    <t>昆明银海泊岸小区</t>
  </si>
  <si>
    <t>KM006昆明小板桥蝶城</t>
  </si>
  <si>
    <t>许斌华</t>
  </si>
  <si>
    <t>简志文</t>
  </si>
  <si>
    <t>昆明万科翡翠</t>
  </si>
  <si>
    <t>明勇</t>
  </si>
  <si>
    <t>马爱龙</t>
  </si>
  <si>
    <t>地势与周围齐平</t>
  </si>
  <si>
    <t>昆明傲珀澜庭城</t>
  </si>
  <si>
    <t>朱泽良</t>
  </si>
  <si>
    <t>昆明翡翠南郡小区</t>
  </si>
  <si>
    <t>王文彪</t>
  </si>
  <si>
    <t>昆明万科500里</t>
  </si>
  <si>
    <t>张正其</t>
  </si>
  <si>
    <t>昆明万科公园城市</t>
  </si>
  <si>
    <t>钟建宏</t>
  </si>
  <si>
    <t>成都万科时光润园</t>
  </si>
  <si>
    <t>黄立仕</t>
  </si>
  <si>
    <t>昆明金域缇香</t>
  </si>
  <si>
    <t>曲耀英</t>
  </si>
  <si>
    <t>昆明金域南郡花园</t>
  </si>
  <si>
    <t>刘虎</t>
  </si>
  <si>
    <t>成都市首开鹭鸣北湖名邸</t>
  </si>
  <si>
    <t>牛蕾</t>
  </si>
  <si>
    <t>杨杰</t>
  </si>
  <si>
    <t>成都铂景台</t>
  </si>
  <si>
    <t>郑宇</t>
  </si>
  <si>
    <t>成都首钢东境风华花园</t>
  </si>
  <si>
    <t>郑智</t>
  </si>
  <si>
    <t>成都信智东岸花园</t>
  </si>
  <si>
    <t>吴佳男</t>
  </si>
  <si>
    <t>/</t>
  </si>
  <si>
    <t>西昌邛海17度C区</t>
  </si>
  <si>
    <t>陈建</t>
  </si>
  <si>
    <t>西昌邛海17度B区</t>
  </si>
  <si>
    <t>成都檀府</t>
  </si>
  <si>
    <t>成都樟宜星光</t>
  </si>
  <si>
    <t>段金林</t>
  </si>
  <si>
    <t>成都中洲锦城湖岸</t>
  </si>
  <si>
    <t>成都奥山府·九重锦</t>
  </si>
  <si>
    <t>西昌邛海17度D区</t>
  </si>
  <si>
    <t>消防风险等级</t>
  </si>
  <si>
    <t>两年内火情次数</t>
  </si>
  <si>
    <t>消防瘫痪情况</t>
  </si>
  <si>
    <t>无</t>
  </si>
  <si>
    <t>水消防、电消防、排烟、气灭故障</t>
  </si>
  <si>
    <t>"消防电系统：
1.2005年交付；设备线路老化消防远程控制系统瘫痪；
2.消防管网地库喷淋系统渗漏严重；无法保压。公共区域楼梯间消火栓能够保压；
3.应急照明故障电池故障，模块故障，预埋线路短路断路
4.个别卷帘门变形电机烧坏
5.手动报警联动无法接收信号；消防对讲电话无法接通；
消防水系统：
园区总平、地库、3、4、5、8、11、漏水严重无法保压"</t>
  </si>
  <si>
    <t>消防水系统漏水、消防主机故障</t>
  </si>
  <si>
    <t>消防电系统故障，管网漏水</t>
  </si>
  <si>
    <t>治安风险等级</t>
  </si>
  <si>
    <t>接管年限</t>
  </si>
  <si>
    <t>位置</t>
  </si>
  <si>
    <t>治安事件</t>
  </si>
  <si>
    <t>主城区</t>
  </si>
  <si>
    <t>成都市成华区保和街道万科魅力之城</t>
  </si>
  <si>
    <t>成都市龙泉驿区龙泉街道金桂路600号万科金色城品</t>
  </si>
  <si>
    <t>成都市成华区和美西路8号首创国际城</t>
  </si>
  <si>
    <t>成都市锦江区静安路1号</t>
  </si>
  <si>
    <t>成都市锦江区静秀路55号</t>
  </si>
  <si>
    <t>成都市锦江区棣棠路870号</t>
  </si>
  <si>
    <t>四川省成都市锦江区国香街593号</t>
  </si>
  <si>
    <t>四川省成都市锦江区成龙路国香街666号卓锦城六期</t>
  </si>
  <si>
    <t>四川省成都市锦江区成龙大道一段9号枫树街253号</t>
  </si>
  <si>
    <t>四川省成都市锦江区成龙大道静宁路9号</t>
  </si>
  <si>
    <t>成都市武侯区高阳路70号</t>
  </si>
  <si>
    <t>成都市青羊区蔡桥街道光华南三路88号</t>
  </si>
  <si>
    <t>成都市青羊区苏坡街道清水滨河路104号</t>
  </si>
  <si>
    <t>成都市青羊区金沙街道蜀辉路8号</t>
  </si>
  <si>
    <t>四川成都青羊区外光华万家湾中坝街29号</t>
  </si>
  <si>
    <t>郊区</t>
  </si>
  <si>
    <t>郫都区犀浦镇龙呤村1.5社</t>
  </si>
  <si>
    <t>成都市郫都区犀浦街道泰山北街421号</t>
  </si>
  <si>
    <t>成都市郫都区犀浦镇龙吟路6号</t>
  </si>
  <si>
    <t>高新区天府二街与南华路交汇处</t>
  </si>
  <si>
    <t>成都市高新区大源组团</t>
  </si>
  <si>
    <t>成都市高新区天府四街1869号</t>
  </si>
  <si>
    <t>四川省成都市高新区天华路9号</t>
  </si>
  <si>
    <t>四川省成都市高新区天华路199号</t>
  </si>
  <si>
    <t>高新区天华路299号</t>
  </si>
  <si>
    <t>成都高新区盛邦街19号</t>
  </si>
  <si>
    <t>成都市高新区天府大道南段 325 号</t>
  </si>
  <si>
    <t>成都市高新区中和街道姐儿堰路51号</t>
  </si>
  <si>
    <t>武侯区天府三街和康华路交汇口</t>
  </si>
  <si>
    <t>成都市龙泉驿区大面街道新建路299号</t>
  </si>
  <si>
    <t>四川省成都市天府新区华阳美岸路二段199号</t>
  </si>
  <si>
    <t>四川省成都市天府新区华阳镇瑞祥西街818号</t>
  </si>
  <si>
    <t>成都市天府新区华阳街道瑞祥路768号</t>
  </si>
  <si>
    <t>四川省成都市天府新区华阳街道云龙南巷55号</t>
  </si>
  <si>
    <t>成都市双流区公兴街道藕塘村集体、6、7组</t>
  </si>
  <si>
    <t>双流区天保大道999号</t>
  </si>
  <si>
    <t>四川省成都市天府新区沈阳路西段33号</t>
  </si>
  <si>
    <t>成都市郫都区犀浦镇两河东路115号</t>
  </si>
  <si>
    <t>电瓶车电瓶遗失</t>
  </si>
  <si>
    <t>郫都区犀浦镇和心路200-298号</t>
  </si>
  <si>
    <t>成都市郫都区犀浦镇下街456号</t>
  </si>
  <si>
    <t>成都市郫都区犀浦镇金粮路666号</t>
  </si>
  <si>
    <t>成都郫都犀浦两河东路319号</t>
  </si>
  <si>
    <t>新都区桂湖街道毗河东路6号</t>
  </si>
  <si>
    <t>成都市新都区三河街道龙秀路89号</t>
  </si>
  <si>
    <t>四川省成都市新都区三河街道花园村大件路东侧</t>
  </si>
  <si>
    <t>新都区三河街道龙秀路799号</t>
  </si>
  <si>
    <t>新都区龙山路836号</t>
  </si>
  <si>
    <t>新都区三河街道花园社区</t>
  </si>
  <si>
    <t>四川省成都市双流区九江街道石万路288号</t>
  </si>
  <si>
    <t>业主家中物品遗失</t>
  </si>
  <si>
    <t>四川省成都市双流区九江街道康家堰路二段119号</t>
  </si>
  <si>
    <t>成都市天府新区万安镇海昌路169号</t>
  </si>
  <si>
    <t>成都市天府新区万安镇梓州大道3139号</t>
  </si>
  <si>
    <t>成都市双流区雅和北三路350号</t>
  </si>
  <si>
    <t>成都市天府新区华阳大道三段 74 号</t>
  </si>
  <si>
    <t>成都青白江区凤祥大道955号</t>
  </si>
  <si>
    <t>青白江同华大道北侧、凯莱丽景小区西侧</t>
  </si>
  <si>
    <t>青白江区华逸中路 188 号</t>
  </si>
  <si>
    <t>成都市龙泉驿区大面街道翠柳街166号</t>
  </si>
  <si>
    <t>成都市龙泉驿区大面街道驿都大道以南、行政学院以东</t>
  </si>
  <si>
    <t>成都市龙泉驿区大面天竺桂街 96 号</t>
  </si>
  <si>
    <t>成都市龙泉驿区大面杜鹃街 86 号</t>
  </si>
  <si>
    <t>成都市龙泉驿区大面杜鹃街 198 号</t>
  </si>
  <si>
    <t>成都市成华区前锋街1号</t>
  </si>
  <si>
    <t>成都市成华区建设路一号</t>
  </si>
  <si>
    <t>四川省成都市成华区踏水桥北街60号</t>
  </si>
  <si>
    <t>四川省成都市成华区建设路2号</t>
  </si>
  <si>
    <t>成都市锦江区顺江路81号</t>
  </si>
  <si>
    <t>成都市锦江区牛王庙巷35号</t>
  </si>
  <si>
    <t>成都市锦江区大慈寺路3号</t>
  </si>
  <si>
    <t>成都市天府新区华阳街道麓湖南路东段698.699号</t>
  </si>
  <si>
    <t>成都市天府新区华阳街道香山村六、八、九组,梓州大道与东山大道交汇处</t>
  </si>
  <si>
    <t>行李箱遗失</t>
  </si>
  <si>
    <t>成都市天府新区华阳街道香山村七组</t>
  </si>
  <si>
    <t>成都市天府新区天津路东段1234号</t>
  </si>
  <si>
    <t>成都市双流区华阳街道香山村九里埂南路228号</t>
  </si>
  <si>
    <t>成都市天府新区九里埂南路465号</t>
  </si>
  <si>
    <t>四川省成都市天府新区成都直管区正兴街道田家寺村四、五组，大安桥村一组</t>
  </si>
  <si>
    <t>地下室车门被撬</t>
  </si>
  <si>
    <t>四川省成都市双流区绵州路2699号</t>
  </si>
  <si>
    <t>成都市金牛区二环路北一段十号</t>
  </si>
  <si>
    <t>成都市金牛区金耀路158号</t>
  </si>
  <si>
    <t>成都市金牛区金泉街道土桥社区盛业路333号</t>
  </si>
  <si>
    <t>金牛区金泉街道办蜀西南三路98号</t>
  </si>
  <si>
    <t>四川省成都市金牛区涧芳二街333号</t>
  </si>
  <si>
    <t>四川省成都市金牛区盛达横街39号</t>
  </si>
  <si>
    <t>云南省昆明市官渡区广居路899号万科魅力之城</t>
  </si>
  <si>
    <t>云南省昆明市五华区核桃箐</t>
  </si>
  <si>
    <t>云南省昆明市五华区龙泉路420号</t>
  </si>
  <si>
    <t>昆明市五华区二环北路与龙泉路交叉处</t>
  </si>
  <si>
    <t>昆明市五华区红云街道小康大道589号</t>
  </si>
  <si>
    <t>昆明市盘龙区金黑公路318号（原黑龙潭干休所）</t>
  </si>
  <si>
    <t>昆明市盘龙区北京路延长线瀑布公园旁</t>
  </si>
  <si>
    <t>云南省昆明市盘龙区S0501(昆明绕城高速)  旁</t>
  </si>
  <si>
    <t>昆明市盘龙区白云路168号</t>
  </si>
  <si>
    <t>云南省昆明市盘龙区白云路与白龙路交汇口</t>
  </si>
  <si>
    <t>云南省昆明市盘江东路与金菊路交汇处</t>
  </si>
  <si>
    <t>云南省昆明市五华区建设路与学府路交汇处</t>
  </si>
  <si>
    <t>门口快递遗失</t>
  </si>
  <si>
    <t>云南省昆明市五华区昌源中路18号万科金域国际</t>
  </si>
  <si>
    <t>昆明市高新区滇缅大道与昌源中路交汇处</t>
  </si>
  <si>
    <t>昆明市五华区普吉路</t>
  </si>
  <si>
    <t>自行车遗失</t>
  </si>
  <si>
    <t>云南省昆明市西山区前兴路与环湖东路交汇处以东，盘龙江畔</t>
  </si>
  <si>
    <t>昆明市官渡区小板桥街道办事处中闸社区</t>
  </si>
  <si>
    <t>昆明市官渡区环湖东路与福保路交汇处向东</t>
  </si>
  <si>
    <t>云南省昆明市官渡区小板桥镇中街10号</t>
  </si>
  <si>
    <t>海悦蓝郡小区A7地块位于昆明市官渡区六甲街道办事处，东邻380号规划路，南邻本项目A6地块，西邻374号路，北邻246号路</t>
  </si>
  <si>
    <t>云南省昆明市官渡区小板桥街道昌宏西路与逸彩路交叉口</t>
  </si>
  <si>
    <t>成都市郫都区红光街道高店路东段199号</t>
  </si>
  <si>
    <t>昆明市盘龙区北京路2190号</t>
  </si>
  <si>
    <t>云南省昆明市官渡区彩云北路与老昆洛路交汇处</t>
  </si>
  <si>
    <t>成都市成华区湖光路317号</t>
  </si>
  <si>
    <t>成都市郫都区犀浦街道两河西路9号</t>
  </si>
  <si>
    <t>成都市龙泉驿区至善南路199号</t>
  </si>
  <si>
    <t>成都市龙泉驿区跨湖路2号</t>
  </si>
  <si>
    <t>西昌市航天大道五段南侧</t>
  </si>
  <si>
    <t>成都市武侯区万兴路88号</t>
  </si>
  <si>
    <t>成都市郸都区红光路北二段368号</t>
  </si>
  <si>
    <t>成都市高新区天府一街616号</t>
  </si>
  <si>
    <t>成都市成华区丛森路18号</t>
  </si>
  <si>
    <t>西昌市航天大道东延线以南CJXT—D01地块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</si>
</sst>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楷体"/>
      <charset val="134"/>
    </font>
    <font>
      <b/>
      <sz val="13"/>
      <name val="宋体"/>
      <charset val="134"/>
    </font>
    <font>
      <sz val="14"/>
      <color indexed="8"/>
      <name val="楷体"/>
      <charset val="134"/>
    </font>
    <font>
      <sz val="14"/>
      <name val="楷体"/>
      <charset val="134"/>
    </font>
    <font>
      <sz val="14"/>
      <color rgb="FF00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24"/>
  <sheetViews>
    <sheetView zoomScale="70" zoomScaleNormal="70" workbookViewId="0">
      <pane ySplit="1" topLeftCell="A2" activePane="bottomLeft" state="frozen"/>
      <selection/>
      <selection pane="bottomLeft" activeCell="I8" sqref="I8"/>
    </sheetView>
  </sheetViews>
  <sheetFormatPr defaultColWidth="9" defaultRowHeight="17.5"/>
  <cols>
    <col min="1" max="1" width="52.2727272727273" style="11" customWidth="1"/>
    <col min="2" max="2" width="32.0909090909091" style="11" customWidth="1"/>
    <col min="3" max="3" width="20.6363636363636" style="11" customWidth="1"/>
    <col min="4" max="4" width="7" style="11" customWidth="1"/>
    <col min="5" max="6" width="9.63636363636364" style="11" customWidth="1"/>
    <col min="7" max="7" width="18.6363636363636" style="11" customWidth="1"/>
    <col min="8" max="10" width="16.6181818181818" style="11" customWidth="1"/>
    <col min="11" max="11" width="33.6363636363636" style="11" customWidth="1"/>
    <col min="12" max="12" width="40.8181818181818" style="11" customWidth="1"/>
    <col min="13" max="13" width="26.5454545454545" style="11" customWidth="1"/>
    <col min="14" max="14" width="30.1818181818182" style="11" customWidth="1"/>
    <col min="15" max="16384" width="9" style="1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5" t="s">
        <v>21</v>
      </c>
      <c r="I2" s="5">
        <v>104.152848</v>
      </c>
      <c r="J2" s="5">
        <v>30.625018</v>
      </c>
      <c r="K2" s="5" t="s">
        <v>22</v>
      </c>
      <c r="L2" s="5" t="s">
        <v>23</v>
      </c>
      <c r="M2" s="5" t="s">
        <v>24</v>
      </c>
      <c r="N2" s="5" t="s">
        <v>25</v>
      </c>
    </row>
    <row r="3" spans="1:14">
      <c r="A3" s="2" t="s">
        <v>26</v>
      </c>
      <c r="B3" s="2" t="s">
        <v>15</v>
      </c>
      <c r="C3" s="2" t="s">
        <v>27</v>
      </c>
      <c r="D3" s="2" t="s">
        <v>17</v>
      </c>
      <c r="E3" s="2" t="s">
        <v>18</v>
      </c>
      <c r="F3" s="2" t="s">
        <v>19</v>
      </c>
      <c r="G3" s="2" t="s">
        <v>20</v>
      </c>
      <c r="H3" s="5" t="s">
        <v>28</v>
      </c>
      <c r="I3" s="5">
        <v>104.168124</v>
      </c>
      <c r="J3" s="5">
        <v>30.644582</v>
      </c>
      <c r="K3" s="5" t="s">
        <v>29</v>
      </c>
      <c r="L3" s="5" t="s">
        <v>30</v>
      </c>
      <c r="M3" s="5" t="s">
        <v>24</v>
      </c>
      <c r="N3" s="5" t="s">
        <v>25</v>
      </c>
    </row>
    <row r="4" spans="1:14">
      <c r="A4" s="2" t="s">
        <v>31</v>
      </c>
      <c r="B4" s="2" t="s">
        <v>15</v>
      </c>
      <c r="C4" s="2" t="s">
        <v>32</v>
      </c>
      <c r="D4" s="2" t="s">
        <v>17</v>
      </c>
      <c r="E4" s="2" t="s">
        <v>18</v>
      </c>
      <c r="F4" s="2" t="s">
        <v>19</v>
      </c>
      <c r="G4" s="2" t="s">
        <v>20</v>
      </c>
      <c r="H4" s="5" t="s">
        <v>21</v>
      </c>
      <c r="I4" s="5">
        <v>104.15273</v>
      </c>
      <c r="J4" s="5">
        <v>30.630772</v>
      </c>
      <c r="K4" s="5" t="s">
        <v>33</v>
      </c>
      <c r="L4" s="5" t="s">
        <v>34</v>
      </c>
      <c r="M4" s="5" t="s">
        <v>24</v>
      </c>
      <c r="N4" s="5" t="s">
        <v>25</v>
      </c>
    </row>
    <row r="5" spans="1:14">
      <c r="A5" s="2" t="s">
        <v>35</v>
      </c>
      <c r="B5" s="2" t="s">
        <v>36</v>
      </c>
      <c r="C5" s="2" t="s">
        <v>37</v>
      </c>
      <c r="D5" s="2" t="s">
        <v>17</v>
      </c>
      <c r="E5" s="2" t="s">
        <v>18</v>
      </c>
      <c r="F5" s="2" t="s">
        <v>19</v>
      </c>
      <c r="G5" s="2" t="s">
        <v>38</v>
      </c>
      <c r="H5" s="5" t="s">
        <v>21</v>
      </c>
      <c r="I5" s="5">
        <v>104.116187</v>
      </c>
      <c r="J5" s="5">
        <v>30.61335</v>
      </c>
      <c r="K5" s="5" t="s">
        <v>39</v>
      </c>
      <c r="L5" s="5" t="s">
        <v>40</v>
      </c>
      <c r="M5" s="5" t="s">
        <v>24</v>
      </c>
      <c r="N5" s="5" t="s">
        <v>25</v>
      </c>
    </row>
    <row r="6" spans="1:14">
      <c r="A6" s="2" t="s">
        <v>41</v>
      </c>
      <c r="B6" s="2" t="s">
        <v>36</v>
      </c>
      <c r="C6" s="2" t="s">
        <v>42</v>
      </c>
      <c r="D6" s="2" t="s">
        <v>17</v>
      </c>
      <c r="E6" s="2" t="s">
        <v>18</v>
      </c>
      <c r="F6" s="2" t="s">
        <v>19</v>
      </c>
      <c r="G6" s="2" t="s">
        <v>38</v>
      </c>
      <c r="H6" s="5" t="s">
        <v>21</v>
      </c>
      <c r="I6" s="5">
        <v>104.118947</v>
      </c>
      <c r="J6" s="5">
        <v>30.62192</v>
      </c>
      <c r="K6" s="5" t="s">
        <v>43</v>
      </c>
      <c r="L6" s="5" t="s">
        <v>34</v>
      </c>
      <c r="M6" s="5" t="s">
        <v>24</v>
      </c>
      <c r="N6" s="5" t="s">
        <v>25</v>
      </c>
    </row>
    <row r="7" spans="1:14">
      <c r="A7" s="2" t="s">
        <v>44</v>
      </c>
      <c r="B7" s="2" t="s">
        <v>36</v>
      </c>
      <c r="C7" s="2" t="s">
        <v>45</v>
      </c>
      <c r="D7" s="2" t="s">
        <v>17</v>
      </c>
      <c r="E7" s="2" t="s">
        <v>18</v>
      </c>
      <c r="F7" s="2" t="s">
        <v>19</v>
      </c>
      <c r="G7" s="2" t="s">
        <v>38</v>
      </c>
      <c r="H7" s="5" t="s">
        <v>21</v>
      </c>
      <c r="I7" s="5">
        <v>104.125215</v>
      </c>
      <c r="J7" s="5">
        <v>30.595431</v>
      </c>
      <c r="K7" s="5" t="s">
        <v>43</v>
      </c>
      <c r="L7" s="5" t="s">
        <v>34</v>
      </c>
      <c r="M7" s="5" t="s">
        <v>24</v>
      </c>
      <c r="N7" s="5" t="s">
        <v>25</v>
      </c>
    </row>
    <row r="8" spans="1:14">
      <c r="A8" s="2" t="s">
        <v>46</v>
      </c>
      <c r="B8" s="2" t="s">
        <v>36</v>
      </c>
      <c r="C8" s="2" t="s">
        <v>47</v>
      </c>
      <c r="D8" s="2" t="s">
        <v>17</v>
      </c>
      <c r="E8" s="2" t="s">
        <v>18</v>
      </c>
      <c r="F8" s="2" t="s">
        <v>19</v>
      </c>
      <c r="G8" s="2" t="s">
        <v>48</v>
      </c>
      <c r="H8" s="5" t="s">
        <v>28</v>
      </c>
      <c r="I8" s="5">
        <v>104.137369</v>
      </c>
      <c r="J8" s="5">
        <v>30.597466</v>
      </c>
      <c r="K8" s="5" t="s">
        <v>29</v>
      </c>
      <c r="L8" s="5" t="s">
        <v>30</v>
      </c>
      <c r="M8" s="5" t="s">
        <v>24</v>
      </c>
      <c r="N8" s="5" t="s">
        <v>25</v>
      </c>
    </row>
    <row r="9" spans="1:14">
      <c r="A9" s="2" t="s">
        <v>49</v>
      </c>
      <c r="B9" s="2" t="s">
        <v>36</v>
      </c>
      <c r="C9" s="2" t="s">
        <v>50</v>
      </c>
      <c r="D9" s="2" t="s">
        <v>17</v>
      </c>
      <c r="E9" s="2" t="s">
        <v>18</v>
      </c>
      <c r="F9" s="2" t="s">
        <v>19</v>
      </c>
      <c r="G9" s="2" t="s">
        <v>48</v>
      </c>
      <c r="H9" s="5" t="s">
        <v>28</v>
      </c>
      <c r="I9" s="5">
        <v>104.129428</v>
      </c>
      <c r="J9" s="5">
        <v>30.600074</v>
      </c>
      <c r="K9" s="5" t="s">
        <v>29</v>
      </c>
      <c r="L9" s="5" t="s">
        <v>30</v>
      </c>
      <c r="M9" s="5" t="s">
        <v>24</v>
      </c>
      <c r="N9" s="5" t="s">
        <v>25</v>
      </c>
    </row>
    <row r="10" spans="1:14">
      <c r="A10" s="2" t="s">
        <v>51</v>
      </c>
      <c r="B10" s="2" t="s">
        <v>36</v>
      </c>
      <c r="C10" s="2" t="s">
        <v>47</v>
      </c>
      <c r="D10" s="2" t="s">
        <v>17</v>
      </c>
      <c r="E10" s="2" t="s">
        <v>18</v>
      </c>
      <c r="F10" s="2" t="s">
        <v>19</v>
      </c>
      <c r="G10" s="2" t="s">
        <v>48</v>
      </c>
      <c r="H10" s="5" t="s">
        <v>28</v>
      </c>
      <c r="I10" s="5">
        <v>104.131172</v>
      </c>
      <c r="J10" s="5">
        <v>30.598592</v>
      </c>
      <c r="K10" s="5" t="s">
        <v>29</v>
      </c>
      <c r="L10" s="5" t="s">
        <v>30</v>
      </c>
      <c r="M10" s="5" t="s">
        <v>24</v>
      </c>
      <c r="N10" s="5" t="s">
        <v>25</v>
      </c>
    </row>
    <row r="11" spans="1:14">
      <c r="A11" s="2" t="s">
        <v>52</v>
      </c>
      <c r="B11" s="2" t="s">
        <v>36</v>
      </c>
      <c r="C11" s="2" t="s">
        <v>53</v>
      </c>
      <c r="D11" s="2" t="s">
        <v>17</v>
      </c>
      <c r="E11" s="2" t="s">
        <v>18</v>
      </c>
      <c r="F11" s="2" t="s">
        <v>19</v>
      </c>
      <c r="G11" s="2" t="s">
        <v>38</v>
      </c>
      <c r="H11" s="5" t="s">
        <v>21</v>
      </c>
      <c r="I11" s="5">
        <v>104.12322</v>
      </c>
      <c r="J11" s="5">
        <v>30.604766</v>
      </c>
      <c r="K11" s="5" t="s">
        <v>54</v>
      </c>
      <c r="L11" s="5" t="s">
        <v>55</v>
      </c>
      <c r="M11" s="5" t="s">
        <v>56</v>
      </c>
      <c r="N11" s="5" t="s">
        <v>25</v>
      </c>
    </row>
    <row r="12" spans="1:14">
      <c r="A12" s="2" t="s">
        <v>57</v>
      </c>
      <c r="B12" s="2" t="s">
        <v>36</v>
      </c>
      <c r="C12" s="2" t="s">
        <v>58</v>
      </c>
      <c r="D12" s="2" t="s">
        <v>17</v>
      </c>
      <c r="E12" s="2" t="s">
        <v>18</v>
      </c>
      <c r="F12" s="2" t="s">
        <v>19</v>
      </c>
      <c r="G12" s="2" t="s">
        <v>38</v>
      </c>
      <c r="H12" s="5" t="s">
        <v>28</v>
      </c>
      <c r="I12" s="5">
        <v>104.0831</v>
      </c>
      <c r="J12" s="5">
        <v>30.612397</v>
      </c>
      <c r="K12" s="5" t="s">
        <v>29</v>
      </c>
      <c r="L12" s="5" t="s">
        <v>30</v>
      </c>
      <c r="M12" s="5" t="s">
        <v>24</v>
      </c>
      <c r="N12" s="5" t="s">
        <v>25</v>
      </c>
    </row>
    <row r="13" spans="1:14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18</v>
      </c>
      <c r="F13" s="2" t="s">
        <v>63</v>
      </c>
      <c r="G13" s="2" t="s">
        <v>64</v>
      </c>
      <c r="H13" s="5" t="s">
        <v>21</v>
      </c>
      <c r="I13" s="5">
        <v>103.963709</v>
      </c>
      <c r="J13" s="5">
        <v>30.668173</v>
      </c>
      <c r="K13" s="5" t="s">
        <v>65</v>
      </c>
      <c r="L13" s="5" t="s">
        <v>55</v>
      </c>
      <c r="M13" s="5" t="s">
        <v>56</v>
      </c>
      <c r="N13" s="5" t="s">
        <v>66</v>
      </c>
    </row>
    <row r="14" spans="1:14">
      <c r="A14" s="2" t="s">
        <v>67</v>
      </c>
      <c r="B14" s="2" t="s">
        <v>60</v>
      </c>
      <c r="C14" s="2" t="s">
        <v>68</v>
      </c>
      <c r="D14" s="2" t="s">
        <v>62</v>
      </c>
      <c r="E14" s="2" t="s">
        <v>18</v>
      </c>
      <c r="F14" s="2" t="s">
        <v>63</v>
      </c>
      <c r="G14" s="2" t="s">
        <v>64</v>
      </c>
      <c r="H14" s="5" t="s">
        <v>28</v>
      </c>
      <c r="I14" s="5">
        <v>104</v>
      </c>
      <c r="J14" s="5">
        <v>30.68</v>
      </c>
      <c r="K14" s="5" t="s">
        <v>29</v>
      </c>
      <c r="L14" s="5" t="s">
        <v>30</v>
      </c>
      <c r="M14" s="5" t="s">
        <v>24</v>
      </c>
      <c r="N14" s="5" t="s">
        <v>25</v>
      </c>
    </row>
    <row r="15" spans="1:14">
      <c r="A15" s="2" t="s">
        <v>69</v>
      </c>
      <c r="B15" s="2" t="s">
        <v>60</v>
      </c>
      <c r="C15" s="2" t="s">
        <v>70</v>
      </c>
      <c r="D15" s="2" t="s">
        <v>62</v>
      </c>
      <c r="E15" s="2" t="s">
        <v>18</v>
      </c>
      <c r="F15" s="2" t="s">
        <v>63</v>
      </c>
      <c r="G15" s="2" t="s">
        <v>64</v>
      </c>
      <c r="H15" s="5" t="s">
        <v>28</v>
      </c>
      <c r="I15" s="5">
        <v>103.999062</v>
      </c>
      <c r="J15" s="5">
        <v>30.67723</v>
      </c>
      <c r="K15" s="5" t="s">
        <v>29</v>
      </c>
      <c r="L15" s="5" t="s">
        <v>30</v>
      </c>
      <c r="M15" s="5" t="s">
        <v>24</v>
      </c>
      <c r="N15" s="5" t="s">
        <v>25</v>
      </c>
    </row>
    <row r="16" spans="1:14">
      <c r="A16" s="2" t="s">
        <v>71</v>
      </c>
      <c r="B16" s="2" t="s">
        <v>60</v>
      </c>
      <c r="C16" s="2" t="s">
        <v>72</v>
      </c>
      <c r="D16" s="2" t="s">
        <v>62</v>
      </c>
      <c r="E16" s="2" t="s">
        <v>18</v>
      </c>
      <c r="F16" s="2" t="s">
        <v>63</v>
      </c>
      <c r="G16" s="2" t="s">
        <v>64</v>
      </c>
      <c r="H16" s="5" t="s">
        <v>28</v>
      </c>
      <c r="I16" s="5">
        <v>103.978693</v>
      </c>
      <c r="J16" s="5">
        <v>30.670724</v>
      </c>
      <c r="K16" s="5" t="s">
        <v>29</v>
      </c>
      <c r="L16" s="5" t="s">
        <v>30</v>
      </c>
      <c r="M16" s="5" t="s">
        <v>24</v>
      </c>
      <c r="N16" s="5" t="s">
        <v>25</v>
      </c>
    </row>
    <row r="17" spans="1:14">
      <c r="A17" s="2" t="s">
        <v>73</v>
      </c>
      <c r="B17" s="2" t="s">
        <v>74</v>
      </c>
      <c r="C17" s="2" t="s">
        <v>75</v>
      </c>
      <c r="D17" s="2" t="s">
        <v>62</v>
      </c>
      <c r="E17" s="2" t="s">
        <v>18</v>
      </c>
      <c r="F17" s="2" t="s">
        <v>63</v>
      </c>
      <c r="G17" s="2" t="s">
        <v>76</v>
      </c>
      <c r="H17" s="5" t="s">
        <v>28</v>
      </c>
      <c r="I17" s="5">
        <v>103.973103</v>
      </c>
      <c r="J17" s="5">
        <v>30.754699</v>
      </c>
      <c r="K17" s="5" t="s">
        <v>29</v>
      </c>
      <c r="L17" s="5" t="s">
        <v>30</v>
      </c>
      <c r="M17" s="5" t="s">
        <v>24</v>
      </c>
      <c r="N17" s="5" t="s">
        <v>25</v>
      </c>
    </row>
    <row r="18" spans="1:14">
      <c r="A18" s="2" t="s">
        <v>77</v>
      </c>
      <c r="B18" s="2" t="s">
        <v>74</v>
      </c>
      <c r="C18" s="2" t="s">
        <v>78</v>
      </c>
      <c r="D18" s="2" t="s">
        <v>62</v>
      </c>
      <c r="E18" s="2" t="s">
        <v>18</v>
      </c>
      <c r="F18" s="2" t="s">
        <v>63</v>
      </c>
      <c r="G18" s="2" t="s">
        <v>76</v>
      </c>
      <c r="H18" s="5" t="s">
        <v>28</v>
      </c>
      <c r="I18" s="5">
        <v>103.969346</v>
      </c>
      <c r="J18" s="5">
        <v>30.767264</v>
      </c>
      <c r="K18" s="5" t="s">
        <v>29</v>
      </c>
      <c r="L18" s="5" t="s">
        <v>30</v>
      </c>
      <c r="M18" s="5" t="s">
        <v>24</v>
      </c>
      <c r="N18" s="5" t="s">
        <v>25</v>
      </c>
    </row>
    <row r="19" spans="1:14">
      <c r="A19" s="2" t="s">
        <v>79</v>
      </c>
      <c r="B19" s="2" t="s">
        <v>80</v>
      </c>
      <c r="C19" s="2" t="s">
        <v>81</v>
      </c>
      <c r="D19" s="2" t="s">
        <v>62</v>
      </c>
      <c r="E19" s="2" t="s">
        <v>18</v>
      </c>
      <c r="F19" s="2" t="s">
        <v>63</v>
      </c>
      <c r="G19" s="2" t="s">
        <v>76</v>
      </c>
      <c r="H19" s="5" t="s">
        <v>28</v>
      </c>
      <c r="I19" s="5">
        <v>103.981534</v>
      </c>
      <c r="J19" s="5">
        <v>30.748172</v>
      </c>
      <c r="K19" s="5" t="s">
        <v>29</v>
      </c>
      <c r="L19" s="5" t="s">
        <v>30</v>
      </c>
      <c r="M19" s="5" t="s">
        <v>24</v>
      </c>
      <c r="N19" s="5" t="s">
        <v>25</v>
      </c>
    </row>
    <row r="20" spans="1:14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88</v>
      </c>
      <c r="H20" s="5" t="s">
        <v>28</v>
      </c>
      <c r="I20" s="5">
        <v>104.036866</v>
      </c>
      <c r="J20" s="5">
        <v>30.551042</v>
      </c>
      <c r="K20" s="5" t="s">
        <v>29</v>
      </c>
      <c r="L20" s="5" t="s">
        <v>30</v>
      </c>
      <c r="M20" s="5" t="s">
        <v>24</v>
      </c>
      <c r="N20" s="5" t="s">
        <v>25</v>
      </c>
    </row>
    <row r="21" spans="1:14">
      <c r="A21" s="2" t="s">
        <v>89</v>
      </c>
      <c r="B21" s="2" t="s">
        <v>83</v>
      </c>
      <c r="C21" s="2" t="s">
        <v>90</v>
      </c>
      <c r="D21" s="2" t="s">
        <v>85</v>
      </c>
      <c r="E21" s="2" t="s">
        <v>86</v>
      </c>
      <c r="F21" s="2" t="s">
        <v>87</v>
      </c>
      <c r="G21" s="2" t="s">
        <v>88</v>
      </c>
      <c r="H21" s="5" t="s">
        <v>28</v>
      </c>
      <c r="I21" s="5">
        <v>104.046031</v>
      </c>
      <c r="J21" s="5">
        <v>30.548293</v>
      </c>
      <c r="K21" s="5" t="s">
        <v>29</v>
      </c>
      <c r="L21" s="5" t="s">
        <v>30</v>
      </c>
      <c r="M21" s="5" t="s">
        <v>24</v>
      </c>
      <c r="N21" s="5" t="s">
        <v>25</v>
      </c>
    </row>
    <row r="22" spans="1:14">
      <c r="A22" s="2" t="s">
        <v>91</v>
      </c>
      <c r="B22" s="2" t="s">
        <v>83</v>
      </c>
      <c r="C22" s="2" t="s">
        <v>92</v>
      </c>
      <c r="D22" s="2" t="s">
        <v>85</v>
      </c>
      <c r="E22" s="2" t="s">
        <v>86</v>
      </c>
      <c r="F22" s="2" t="s">
        <v>87</v>
      </c>
      <c r="G22" s="2" t="s">
        <v>88</v>
      </c>
      <c r="H22" s="5" t="s">
        <v>21</v>
      </c>
      <c r="I22" s="5">
        <v>104.043134</v>
      </c>
      <c r="J22" s="5">
        <v>30.54252</v>
      </c>
      <c r="K22" s="5" t="s">
        <v>65</v>
      </c>
      <c r="L22" s="5" t="s">
        <v>55</v>
      </c>
      <c r="M22" s="5" t="s">
        <v>24</v>
      </c>
      <c r="N22" s="5" t="s">
        <v>25</v>
      </c>
    </row>
    <row r="23" spans="1:14">
      <c r="A23" s="2" t="s">
        <v>93</v>
      </c>
      <c r="B23" s="2" t="s">
        <v>83</v>
      </c>
      <c r="C23" s="2" t="s">
        <v>94</v>
      </c>
      <c r="D23" s="2" t="s">
        <v>85</v>
      </c>
      <c r="E23" s="2" t="s">
        <v>86</v>
      </c>
      <c r="F23" s="2" t="s">
        <v>87</v>
      </c>
      <c r="G23" s="2" t="s">
        <v>88</v>
      </c>
      <c r="H23" s="5" t="s">
        <v>28</v>
      </c>
      <c r="I23" s="5">
        <v>104.072553</v>
      </c>
      <c r="J23" s="5">
        <v>30.551131</v>
      </c>
      <c r="K23" s="5" t="s">
        <v>29</v>
      </c>
      <c r="L23" s="5" t="s">
        <v>30</v>
      </c>
      <c r="M23" s="5" t="s">
        <v>24</v>
      </c>
      <c r="N23" s="5" t="s">
        <v>25</v>
      </c>
    </row>
    <row r="24" spans="1:14">
      <c r="A24" s="2" t="s">
        <v>95</v>
      </c>
      <c r="B24" s="2" t="s">
        <v>83</v>
      </c>
      <c r="C24" s="2" t="s">
        <v>94</v>
      </c>
      <c r="D24" s="2" t="s">
        <v>85</v>
      </c>
      <c r="E24" s="2" t="s">
        <v>86</v>
      </c>
      <c r="F24" s="2" t="s">
        <v>87</v>
      </c>
      <c r="G24" s="2" t="s">
        <v>88</v>
      </c>
      <c r="H24" s="5" t="s">
        <v>28</v>
      </c>
      <c r="I24" s="5">
        <v>104.072254</v>
      </c>
      <c r="J24" s="5">
        <v>30.547719</v>
      </c>
      <c r="K24" s="5" t="s">
        <v>29</v>
      </c>
      <c r="L24" s="5" t="s">
        <v>30</v>
      </c>
      <c r="M24" s="5" t="s">
        <v>24</v>
      </c>
      <c r="N24" s="5" t="s">
        <v>25</v>
      </c>
    </row>
    <row r="25" spans="1:14">
      <c r="A25" s="2" t="s">
        <v>96</v>
      </c>
      <c r="B25" s="2" t="s">
        <v>83</v>
      </c>
      <c r="C25" s="2" t="s">
        <v>97</v>
      </c>
      <c r="D25" s="2" t="s">
        <v>85</v>
      </c>
      <c r="E25" s="2" t="s">
        <v>86</v>
      </c>
      <c r="F25" s="2" t="s">
        <v>87</v>
      </c>
      <c r="G25" s="2" t="s">
        <v>88</v>
      </c>
      <c r="H25" s="5" t="s">
        <v>28</v>
      </c>
      <c r="I25" s="5">
        <v>104.072566</v>
      </c>
      <c r="J25" s="5">
        <v>30.54616</v>
      </c>
      <c r="K25" s="5" t="s">
        <v>29</v>
      </c>
      <c r="L25" s="5" t="s">
        <v>30</v>
      </c>
      <c r="M25" s="5" t="s">
        <v>98</v>
      </c>
      <c r="N25" s="5" t="s">
        <v>25</v>
      </c>
    </row>
    <row r="26" spans="1:14">
      <c r="A26" s="2" t="s">
        <v>99</v>
      </c>
      <c r="B26" s="2" t="s">
        <v>83</v>
      </c>
      <c r="C26" s="2" t="s">
        <v>100</v>
      </c>
      <c r="D26" s="2" t="s">
        <v>85</v>
      </c>
      <c r="E26" s="2" t="s">
        <v>86</v>
      </c>
      <c r="F26" s="2" t="s">
        <v>87</v>
      </c>
      <c r="G26" s="2" t="s">
        <v>88</v>
      </c>
      <c r="H26" s="5" t="s">
        <v>28</v>
      </c>
      <c r="I26" s="5">
        <v>104.05533</v>
      </c>
      <c r="J26" s="5">
        <v>30.555606</v>
      </c>
      <c r="K26" s="5" t="s">
        <v>29</v>
      </c>
      <c r="L26" s="5" t="s">
        <v>30</v>
      </c>
      <c r="M26" s="5" t="s">
        <v>24</v>
      </c>
      <c r="N26" s="5" t="s">
        <v>25</v>
      </c>
    </row>
    <row r="27" spans="1:14">
      <c r="A27" s="2" t="s">
        <v>101</v>
      </c>
      <c r="B27" s="2" t="s">
        <v>83</v>
      </c>
      <c r="C27" s="2" t="s">
        <v>102</v>
      </c>
      <c r="D27" s="2" t="s">
        <v>85</v>
      </c>
      <c r="E27" s="2" t="s">
        <v>86</v>
      </c>
      <c r="F27" s="2" t="s">
        <v>87</v>
      </c>
      <c r="G27" s="2" t="s">
        <v>88</v>
      </c>
      <c r="H27" s="5" t="s">
        <v>28</v>
      </c>
      <c r="I27" s="5">
        <v>104.072835</v>
      </c>
      <c r="J27" s="5">
        <v>30.530118</v>
      </c>
      <c r="K27" s="5" t="s">
        <v>29</v>
      </c>
      <c r="L27" s="5" t="s">
        <v>30</v>
      </c>
      <c r="M27" s="5" t="s">
        <v>24</v>
      </c>
      <c r="N27" s="5" t="s">
        <v>25</v>
      </c>
    </row>
    <row r="28" spans="1:14">
      <c r="A28" s="2" t="s">
        <v>103</v>
      </c>
      <c r="B28" s="2" t="s">
        <v>83</v>
      </c>
      <c r="C28" s="2" t="s">
        <v>104</v>
      </c>
      <c r="D28" s="2" t="s">
        <v>85</v>
      </c>
      <c r="E28" s="2" t="s">
        <v>86</v>
      </c>
      <c r="F28" s="2" t="s">
        <v>87</v>
      </c>
      <c r="G28" s="2" t="s">
        <v>88</v>
      </c>
      <c r="H28" s="5" t="s">
        <v>28</v>
      </c>
      <c r="I28" s="5">
        <v>104.073963</v>
      </c>
      <c r="J28" s="5">
        <v>30.530771</v>
      </c>
      <c r="K28" s="5" t="s">
        <v>29</v>
      </c>
      <c r="L28" s="5" t="s">
        <v>30</v>
      </c>
      <c r="M28" s="5" t="s">
        <v>24</v>
      </c>
      <c r="N28" s="5" t="s">
        <v>25</v>
      </c>
    </row>
    <row r="29" spans="1:14">
      <c r="A29" s="2" t="s">
        <v>105</v>
      </c>
      <c r="B29" s="2" t="s">
        <v>83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88</v>
      </c>
      <c r="H29" s="5" t="s">
        <v>28</v>
      </c>
      <c r="I29" s="5">
        <v>104.034233</v>
      </c>
      <c r="J29" s="5">
        <v>30.546541</v>
      </c>
      <c r="K29" s="5" t="s">
        <v>29</v>
      </c>
      <c r="L29" s="5" t="s">
        <v>30</v>
      </c>
      <c r="M29" s="5" t="s">
        <v>24</v>
      </c>
      <c r="N29" s="5" t="s">
        <v>25</v>
      </c>
    </row>
    <row r="30" spans="1:14">
      <c r="A30" s="2" t="s">
        <v>106</v>
      </c>
      <c r="B30" s="2" t="s">
        <v>107</v>
      </c>
      <c r="C30" s="2" t="s">
        <v>108</v>
      </c>
      <c r="D30" s="2" t="s">
        <v>109</v>
      </c>
      <c r="E30" s="2" t="s">
        <v>110</v>
      </c>
      <c r="F30" s="2" t="s">
        <v>111</v>
      </c>
      <c r="G30" s="2" t="s">
        <v>112</v>
      </c>
      <c r="H30" s="5" t="s">
        <v>28</v>
      </c>
      <c r="I30" s="5">
        <v>104.185017</v>
      </c>
      <c r="J30" s="5">
        <v>30.579816</v>
      </c>
      <c r="K30" s="5" t="s">
        <v>29</v>
      </c>
      <c r="L30" s="5" t="s">
        <v>30</v>
      </c>
      <c r="M30" s="5" t="s">
        <v>24</v>
      </c>
      <c r="N30" s="5" t="s">
        <v>25</v>
      </c>
    </row>
    <row r="31" spans="1:14">
      <c r="A31" s="2" t="s">
        <v>113</v>
      </c>
      <c r="B31" s="2" t="s">
        <v>114</v>
      </c>
      <c r="C31" s="2" t="s">
        <v>115</v>
      </c>
      <c r="D31" s="2" t="s">
        <v>116</v>
      </c>
      <c r="E31" s="2" t="s">
        <v>86</v>
      </c>
      <c r="F31" s="2" t="s">
        <v>111</v>
      </c>
      <c r="G31" s="2" t="s">
        <v>117</v>
      </c>
      <c r="H31" s="5" t="s">
        <v>28</v>
      </c>
      <c r="I31" s="5">
        <v>104.042843</v>
      </c>
      <c r="J31" s="5">
        <v>30.488072</v>
      </c>
      <c r="K31" s="5" t="s">
        <v>29</v>
      </c>
      <c r="L31" s="5" t="s">
        <v>30</v>
      </c>
      <c r="M31" s="5" t="s">
        <v>24</v>
      </c>
      <c r="N31" s="5" t="s">
        <v>25</v>
      </c>
    </row>
    <row r="32" spans="1:14">
      <c r="A32" s="2" t="s">
        <v>118</v>
      </c>
      <c r="B32" s="2" t="s">
        <v>114</v>
      </c>
      <c r="C32" s="2" t="s">
        <v>119</v>
      </c>
      <c r="D32" s="2" t="s">
        <v>116</v>
      </c>
      <c r="E32" s="2" t="s">
        <v>86</v>
      </c>
      <c r="F32" s="2" t="s">
        <v>111</v>
      </c>
      <c r="G32" s="2" t="s">
        <v>117</v>
      </c>
      <c r="H32" s="5" t="s">
        <v>28</v>
      </c>
      <c r="I32" s="5">
        <v>104.029501</v>
      </c>
      <c r="J32" s="5">
        <v>30.472956</v>
      </c>
      <c r="K32" s="5" t="s">
        <v>29</v>
      </c>
      <c r="L32" s="5" t="s">
        <v>30</v>
      </c>
      <c r="M32" s="5" t="s">
        <v>24</v>
      </c>
      <c r="N32" s="5" t="s">
        <v>25</v>
      </c>
    </row>
    <row r="33" spans="1:14">
      <c r="A33" s="2" t="s">
        <v>120</v>
      </c>
      <c r="B33" s="2" t="s">
        <v>114</v>
      </c>
      <c r="C33" s="2" t="s">
        <v>121</v>
      </c>
      <c r="D33" s="2" t="s">
        <v>116</v>
      </c>
      <c r="E33" s="2" t="s">
        <v>86</v>
      </c>
      <c r="F33" s="2" t="s">
        <v>111</v>
      </c>
      <c r="G33" s="2" t="s">
        <v>117</v>
      </c>
      <c r="H33" s="5" t="s">
        <v>28</v>
      </c>
      <c r="I33" s="5">
        <v>104.03467</v>
      </c>
      <c r="J33" s="5">
        <v>30.475534</v>
      </c>
      <c r="K33" s="5" t="s">
        <v>29</v>
      </c>
      <c r="L33" s="5" t="s">
        <v>30</v>
      </c>
      <c r="M33" s="5" t="s">
        <v>24</v>
      </c>
      <c r="N33" s="5" t="s">
        <v>25</v>
      </c>
    </row>
    <row r="34" spans="1:14">
      <c r="A34" s="2" t="s">
        <v>122</v>
      </c>
      <c r="B34" s="2" t="s">
        <v>114</v>
      </c>
      <c r="C34" s="2" t="s">
        <v>123</v>
      </c>
      <c r="D34" s="2" t="s">
        <v>116</v>
      </c>
      <c r="E34" s="2" t="s">
        <v>86</v>
      </c>
      <c r="F34" s="2" t="s">
        <v>111</v>
      </c>
      <c r="G34" s="2" t="s">
        <v>117</v>
      </c>
      <c r="H34" s="5" t="s">
        <v>28</v>
      </c>
      <c r="I34" s="5">
        <v>104.040831</v>
      </c>
      <c r="J34" s="5">
        <v>30.474456</v>
      </c>
      <c r="K34" s="5" t="s">
        <v>29</v>
      </c>
      <c r="L34" s="5" t="s">
        <v>30</v>
      </c>
      <c r="M34" s="5" t="s">
        <v>24</v>
      </c>
      <c r="N34" s="5" t="s">
        <v>25</v>
      </c>
    </row>
    <row r="35" spans="1:14">
      <c r="A35" s="2" t="s">
        <v>124</v>
      </c>
      <c r="B35" s="2" t="s">
        <v>114</v>
      </c>
      <c r="C35" s="2" t="s">
        <v>125</v>
      </c>
      <c r="D35" s="2" t="s">
        <v>116</v>
      </c>
      <c r="E35" s="2" t="s">
        <v>86</v>
      </c>
      <c r="F35" s="2" t="s">
        <v>111</v>
      </c>
      <c r="G35" s="2" t="s">
        <v>117</v>
      </c>
      <c r="H35" s="5" t="s">
        <v>28</v>
      </c>
      <c r="I35" s="5">
        <v>104</v>
      </c>
      <c r="J35" s="5">
        <v>30.49</v>
      </c>
      <c r="K35" s="5" t="s">
        <v>29</v>
      </c>
      <c r="L35" s="5" t="s">
        <v>30</v>
      </c>
      <c r="M35" s="5" t="s">
        <v>24</v>
      </c>
      <c r="N35" s="5" t="s">
        <v>25</v>
      </c>
    </row>
    <row r="36" spans="1:14">
      <c r="A36" s="2" t="s">
        <v>126</v>
      </c>
      <c r="B36" s="2" t="s">
        <v>114</v>
      </c>
      <c r="C36" s="2" t="s">
        <v>127</v>
      </c>
      <c r="D36" s="2" t="s">
        <v>116</v>
      </c>
      <c r="E36" s="2" t="s">
        <v>86</v>
      </c>
      <c r="F36" s="2" t="s">
        <v>111</v>
      </c>
      <c r="G36" s="2" t="s">
        <v>117</v>
      </c>
      <c r="H36" s="5" t="s">
        <v>28</v>
      </c>
      <c r="I36" s="5">
        <v>104.02387</v>
      </c>
      <c r="J36" s="5">
        <v>30.471761</v>
      </c>
      <c r="K36" s="5" t="s">
        <v>29</v>
      </c>
      <c r="L36" s="5" t="s">
        <v>30</v>
      </c>
      <c r="M36" s="5" t="s">
        <v>24</v>
      </c>
      <c r="N36" s="5" t="s">
        <v>25</v>
      </c>
    </row>
    <row r="37" spans="1:14">
      <c r="A37" s="2" t="s">
        <v>128</v>
      </c>
      <c r="B37" s="2" t="s">
        <v>114</v>
      </c>
      <c r="C37" s="2" t="s">
        <v>119</v>
      </c>
      <c r="D37" s="2" t="s">
        <v>116</v>
      </c>
      <c r="E37" s="2" t="s">
        <v>86</v>
      </c>
      <c r="F37" s="2" t="s">
        <v>111</v>
      </c>
      <c r="G37" s="2" t="s">
        <v>117</v>
      </c>
      <c r="H37" s="5" t="s">
        <v>28</v>
      </c>
      <c r="I37" s="5">
        <v>104.029756</v>
      </c>
      <c r="J37" s="5">
        <v>30.471848</v>
      </c>
      <c r="K37" s="5" t="s">
        <v>29</v>
      </c>
      <c r="L37" s="5" t="s">
        <v>30</v>
      </c>
      <c r="M37" s="5" t="s">
        <v>24</v>
      </c>
      <c r="N37" s="5" t="s">
        <v>25</v>
      </c>
    </row>
    <row r="38" spans="1:14">
      <c r="A38" s="2" t="s">
        <v>129</v>
      </c>
      <c r="B38" s="2" t="s">
        <v>130</v>
      </c>
      <c r="C38" s="2" t="s">
        <v>131</v>
      </c>
      <c r="D38" s="2" t="s">
        <v>62</v>
      </c>
      <c r="E38" s="2" t="s">
        <v>18</v>
      </c>
      <c r="F38" s="2" t="s">
        <v>63</v>
      </c>
      <c r="G38" s="2" t="s">
        <v>132</v>
      </c>
      <c r="H38" s="5" t="s">
        <v>21</v>
      </c>
      <c r="I38" s="5">
        <v>103.980773</v>
      </c>
      <c r="J38" s="5">
        <v>30.739783</v>
      </c>
      <c r="K38" s="5" t="s">
        <v>133</v>
      </c>
      <c r="L38" s="5" t="s">
        <v>55</v>
      </c>
      <c r="M38" s="5" t="s">
        <v>24</v>
      </c>
      <c r="N38" s="5" t="s">
        <v>25</v>
      </c>
    </row>
    <row r="39" spans="1:14">
      <c r="A39" s="2" t="s">
        <v>134</v>
      </c>
      <c r="B39" s="2" t="s">
        <v>130</v>
      </c>
      <c r="C39" s="2" t="s">
        <v>131</v>
      </c>
      <c r="D39" s="2" t="s">
        <v>62</v>
      </c>
      <c r="E39" s="2" t="s">
        <v>18</v>
      </c>
      <c r="F39" s="2" t="s">
        <v>63</v>
      </c>
      <c r="G39" s="2" t="s">
        <v>132</v>
      </c>
      <c r="H39" s="5" t="s">
        <v>28</v>
      </c>
      <c r="I39" s="5">
        <v>103.981149</v>
      </c>
      <c r="J39" s="5">
        <v>30.73625</v>
      </c>
      <c r="K39" s="5" t="s">
        <v>29</v>
      </c>
      <c r="L39" s="5" t="s">
        <v>30</v>
      </c>
      <c r="M39" s="5" t="s">
        <v>24</v>
      </c>
      <c r="N39" s="5" t="s">
        <v>25</v>
      </c>
    </row>
    <row r="40" spans="1:14">
      <c r="A40" s="2" t="s">
        <v>135</v>
      </c>
      <c r="B40" s="2" t="s">
        <v>130</v>
      </c>
      <c r="C40" s="2" t="s">
        <v>136</v>
      </c>
      <c r="D40" s="2" t="s">
        <v>62</v>
      </c>
      <c r="E40" s="2" t="s">
        <v>18</v>
      </c>
      <c r="F40" s="2" t="s">
        <v>63</v>
      </c>
      <c r="G40" s="2" t="s">
        <v>132</v>
      </c>
      <c r="H40" s="5" t="s">
        <v>28</v>
      </c>
      <c r="I40" s="5">
        <v>103.975847</v>
      </c>
      <c r="J40" s="5">
        <v>30.75013</v>
      </c>
      <c r="K40" s="5" t="s">
        <v>29</v>
      </c>
      <c r="L40" s="5" t="s">
        <v>30</v>
      </c>
      <c r="M40" s="5" t="s">
        <v>24</v>
      </c>
      <c r="N40" s="5" t="s">
        <v>25</v>
      </c>
    </row>
    <row r="41" spans="1:14">
      <c r="A41" s="2" t="s">
        <v>137</v>
      </c>
      <c r="B41" s="2" t="s">
        <v>130</v>
      </c>
      <c r="C41" s="2" t="s">
        <v>138</v>
      </c>
      <c r="D41" s="2" t="s">
        <v>62</v>
      </c>
      <c r="E41" s="2" t="s">
        <v>18</v>
      </c>
      <c r="F41" s="2" t="s">
        <v>63</v>
      </c>
      <c r="G41" s="2" t="s">
        <v>132</v>
      </c>
      <c r="H41" s="5" t="s">
        <v>28</v>
      </c>
      <c r="I41" s="5">
        <v>103.989047</v>
      </c>
      <c r="J41" s="5">
        <v>30.731995</v>
      </c>
      <c r="K41" s="5" t="s">
        <v>29</v>
      </c>
      <c r="L41" s="5" t="s">
        <v>30</v>
      </c>
      <c r="M41" s="5" t="s">
        <v>24</v>
      </c>
      <c r="N41" s="5" t="s">
        <v>25</v>
      </c>
    </row>
    <row r="42" spans="1:14">
      <c r="A42" s="2" t="s">
        <v>139</v>
      </c>
      <c r="B42" s="2" t="s">
        <v>130</v>
      </c>
      <c r="C42" s="2" t="s">
        <v>140</v>
      </c>
      <c r="D42" s="2" t="s">
        <v>62</v>
      </c>
      <c r="E42" s="2" t="s">
        <v>18</v>
      </c>
      <c r="F42" s="2" t="s">
        <v>63</v>
      </c>
      <c r="G42" s="2" t="s">
        <v>132</v>
      </c>
      <c r="H42" s="5" t="s">
        <v>28</v>
      </c>
      <c r="I42" s="5">
        <v>103.979864</v>
      </c>
      <c r="J42" s="5">
        <v>30.738243</v>
      </c>
      <c r="K42" s="5" t="s">
        <v>29</v>
      </c>
      <c r="L42" s="5" t="s">
        <v>30</v>
      </c>
      <c r="M42" s="5" t="s">
        <v>24</v>
      </c>
      <c r="N42" s="5" t="s">
        <v>25</v>
      </c>
    </row>
    <row r="43" spans="1:14">
      <c r="A43" s="2" t="s">
        <v>141</v>
      </c>
      <c r="B43" s="2" t="s">
        <v>142</v>
      </c>
      <c r="C43" s="2" t="s">
        <v>143</v>
      </c>
      <c r="D43" s="2" t="s">
        <v>144</v>
      </c>
      <c r="E43" s="2" t="s">
        <v>110</v>
      </c>
      <c r="F43" s="2" t="s">
        <v>111</v>
      </c>
      <c r="G43" s="2" t="s">
        <v>145</v>
      </c>
      <c r="H43" s="5" t="s">
        <v>21</v>
      </c>
      <c r="I43" s="5">
        <v>104.149824</v>
      </c>
      <c r="J43" s="5">
        <v>30.78994</v>
      </c>
      <c r="K43" s="5" t="s">
        <v>146</v>
      </c>
      <c r="L43" s="5" t="s">
        <v>147</v>
      </c>
      <c r="M43" s="5" t="s">
        <v>56</v>
      </c>
      <c r="N43" s="5" t="s">
        <v>25</v>
      </c>
    </row>
    <row r="44" spans="1:14">
      <c r="A44" s="2" t="s">
        <v>148</v>
      </c>
      <c r="B44" s="2" t="s">
        <v>142</v>
      </c>
      <c r="C44" s="2" t="s">
        <v>149</v>
      </c>
      <c r="D44" s="2" t="s">
        <v>144</v>
      </c>
      <c r="E44" s="2" t="s">
        <v>110</v>
      </c>
      <c r="F44" s="2" t="s">
        <v>111</v>
      </c>
      <c r="G44" s="2" t="s">
        <v>145</v>
      </c>
      <c r="H44" s="5" t="s">
        <v>21</v>
      </c>
      <c r="I44" s="5">
        <v>104.171379</v>
      </c>
      <c r="J44" s="5">
        <v>30.773076</v>
      </c>
      <c r="K44" s="5" t="s">
        <v>150</v>
      </c>
      <c r="L44" s="5" t="s">
        <v>55</v>
      </c>
      <c r="M44" s="5" t="s">
        <v>24</v>
      </c>
      <c r="N44" s="5" t="s">
        <v>25</v>
      </c>
    </row>
    <row r="45" spans="1:14">
      <c r="A45" s="2" t="s">
        <v>151</v>
      </c>
      <c r="B45" s="2" t="s">
        <v>142</v>
      </c>
      <c r="C45" s="2" t="s">
        <v>152</v>
      </c>
      <c r="D45" s="2" t="s">
        <v>144</v>
      </c>
      <c r="E45" s="2" t="s">
        <v>110</v>
      </c>
      <c r="F45" s="2" t="s">
        <v>111</v>
      </c>
      <c r="G45" s="2" t="s">
        <v>145</v>
      </c>
      <c r="H45" s="5" t="s">
        <v>28</v>
      </c>
      <c r="I45" s="5">
        <v>104.142776</v>
      </c>
      <c r="J45" s="5">
        <v>30.784284</v>
      </c>
      <c r="K45" s="5" t="s">
        <v>29</v>
      </c>
      <c r="L45" s="5" t="s">
        <v>30</v>
      </c>
      <c r="M45" s="5" t="s">
        <v>24</v>
      </c>
      <c r="N45" s="5" t="s">
        <v>25</v>
      </c>
    </row>
    <row r="46" spans="1:14">
      <c r="A46" s="2" t="s">
        <v>153</v>
      </c>
      <c r="B46" s="2" t="s">
        <v>142</v>
      </c>
      <c r="C46" s="2" t="s">
        <v>154</v>
      </c>
      <c r="D46" s="2" t="s">
        <v>144</v>
      </c>
      <c r="E46" s="2" t="s">
        <v>110</v>
      </c>
      <c r="F46" s="2" t="s">
        <v>111</v>
      </c>
      <c r="G46" s="2" t="s">
        <v>145</v>
      </c>
      <c r="H46" s="5" t="s">
        <v>28</v>
      </c>
      <c r="I46" s="5">
        <v>104.159894</v>
      </c>
      <c r="J46" s="5">
        <v>30.774233</v>
      </c>
      <c r="K46" s="5" t="s">
        <v>29</v>
      </c>
      <c r="L46" s="5" t="s">
        <v>30</v>
      </c>
      <c r="M46" s="5" t="s">
        <v>98</v>
      </c>
      <c r="N46" s="5" t="s">
        <v>25</v>
      </c>
    </row>
    <row r="47" spans="1:14">
      <c r="A47" s="2" t="s">
        <v>155</v>
      </c>
      <c r="B47" s="2" t="s">
        <v>142</v>
      </c>
      <c r="C47" s="2" t="s">
        <v>154</v>
      </c>
      <c r="D47" s="2" t="s">
        <v>144</v>
      </c>
      <c r="E47" s="2" t="s">
        <v>110</v>
      </c>
      <c r="F47" s="2" t="s">
        <v>111</v>
      </c>
      <c r="G47" s="2" t="s">
        <v>145</v>
      </c>
      <c r="H47" s="5" t="s">
        <v>28</v>
      </c>
      <c r="I47" s="5">
        <v>104.158593</v>
      </c>
      <c r="J47" s="5">
        <v>30.823568</v>
      </c>
      <c r="K47" s="5" t="s">
        <v>29</v>
      </c>
      <c r="L47" s="5" t="s">
        <v>30</v>
      </c>
      <c r="M47" s="5" t="s">
        <v>98</v>
      </c>
      <c r="N47" s="5" t="s">
        <v>25</v>
      </c>
    </row>
    <row r="48" spans="1:14">
      <c r="A48" s="2" t="s">
        <v>156</v>
      </c>
      <c r="B48" s="2" t="s">
        <v>142</v>
      </c>
      <c r="C48" s="2" t="s">
        <v>152</v>
      </c>
      <c r="D48" s="2" t="s">
        <v>144</v>
      </c>
      <c r="E48" s="2" t="s">
        <v>110</v>
      </c>
      <c r="F48" s="2" t="s">
        <v>111</v>
      </c>
      <c r="G48" s="2" t="s">
        <v>145</v>
      </c>
      <c r="H48" s="5" t="s">
        <v>28</v>
      </c>
      <c r="I48" s="5">
        <v>116.990081</v>
      </c>
      <c r="J48" s="5">
        <v>32.620976</v>
      </c>
      <c r="K48" s="5" t="s">
        <v>29</v>
      </c>
      <c r="L48" s="5" t="s">
        <v>30</v>
      </c>
      <c r="M48" s="5" t="s">
        <v>24</v>
      </c>
      <c r="N48" s="5" t="s">
        <v>25</v>
      </c>
    </row>
    <row r="49" spans="1:14">
      <c r="A49" s="2" t="s">
        <v>157</v>
      </c>
      <c r="B49" s="2" t="s">
        <v>158</v>
      </c>
      <c r="C49" s="2" t="s">
        <v>159</v>
      </c>
      <c r="D49" s="2" t="s">
        <v>116</v>
      </c>
      <c r="E49" s="2" t="s">
        <v>86</v>
      </c>
      <c r="F49" s="2" t="s">
        <v>111</v>
      </c>
      <c r="G49" s="2" t="s">
        <v>160</v>
      </c>
      <c r="H49" s="5" t="s">
        <v>28</v>
      </c>
      <c r="I49" s="5">
        <v>103.930089</v>
      </c>
      <c r="J49" s="5">
        <v>30.631003</v>
      </c>
      <c r="K49" s="5" t="s">
        <v>29</v>
      </c>
      <c r="L49" s="5" t="s">
        <v>30</v>
      </c>
      <c r="M49" s="5" t="s">
        <v>24</v>
      </c>
      <c r="N49" s="5" t="s">
        <v>25</v>
      </c>
    </row>
    <row r="50" spans="1:14">
      <c r="A50" s="2" t="s">
        <v>161</v>
      </c>
      <c r="B50" s="2" t="s">
        <v>158</v>
      </c>
      <c r="C50" s="2" t="s">
        <v>162</v>
      </c>
      <c r="D50" s="2" t="s">
        <v>116</v>
      </c>
      <c r="E50" s="2" t="s">
        <v>86</v>
      </c>
      <c r="F50" s="2" t="s">
        <v>111</v>
      </c>
      <c r="G50" s="2" t="s">
        <v>160</v>
      </c>
      <c r="H50" s="5" t="s">
        <v>28</v>
      </c>
      <c r="I50" s="5">
        <v>103.926935</v>
      </c>
      <c r="J50" s="5">
        <v>30.628959</v>
      </c>
      <c r="K50" s="5" t="s">
        <v>29</v>
      </c>
      <c r="L50" s="5" t="s">
        <v>30</v>
      </c>
      <c r="M50" s="5" t="s">
        <v>24</v>
      </c>
      <c r="N50" s="5" t="s">
        <v>25</v>
      </c>
    </row>
    <row r="51" spans="1:14">
      <c r="A51" s="2" t="s">
        <v>163</v>
      </c>
      <c r="B51" s="7" t="s">
        <v>164</v>
      </c>
      <c r="C51" s="2" t="s">
        <v>165</v>
      </c>
      <c r="D51" s="2" t="s">
        <v>116</v>
      </c>
      <c r="E51" s="2" t="s">
        <v>86</v>
      </c>
      <c r="F51" s="2" t="s">
        <v>111</v>
      </c>
      <c r="G51" s="2" t="s">
        <v>166</v>
      </c>
      <c r="H51" s="5" t="s">
        <v>21</v>
      </c>
      <c r="I51" s="5">
        <v>104.081091</v>
      </c>
      <c r="J51" s="5">
        <v>30.49284</v>
      </c>
      <c r="K51" s="5" t="s">
        <v>146</v>
      </c>
      <c r="L51" s="5" t="s">
        <v>147</v>
      </c>
      <c r="M51" s="5" t="s">
        <v>56</v>
      </c>
      <c r="N51" s="5" t="s">
        <v>167</v>
      </c>
    </row>
    <row r="52" spans="1:14">
      <c r="A52" s="2" t="s">
        <v>168</v>
      </c>
      <c r="B52" s="7" t="s">
        <v>164</v>
      </c>
      <c r="C52" s="2" t="s">
        <v>169</v>
      </c>
      <c r="D52" s="2" t="s">
        <v>116</v>
      </c>
      <c r="E52" s="2" t="s">
        <v>86</v>
      </c>
      <c r="F52" s="2" t="s">
        <v>111</v>
      </c>
      <c r="G52" s="2" t="s">
        <v>166</v>
      </c>
      <c r="H52" s="5" t="s">
        <v>28</v>
      </c>
      <c r="I52" s="5">
        <v>104.082788</v>
      </c>
      <c r="J52" s="5">
        <v>30.494588</v>
      </c>
      <c r="K52" s="5" t="s">
        <v>29</v>
      </c>
      <c r="L52" s="5" t="s">
        <v>30</v>
      </c>
      <c r="M52" s="5" t="s">
        <v>24</v>
      </c>
      <c r="N52" s="5" t="s">
        <v>25</v>
      </c>
    </row>
    <row r="53" spans="1:14">
      <c r="A53" s="2" t="s">
        <v>170</v>
      </c>
      <c r="B53" s="7" t="s">
        <v>164</v>
      </c>
      <c r="C53" s="2" t="s">
        <v>171</v>
      </c>
      <c r="D53" s="2" t="s">
        <v>116</v>
      </c>
      <c r="E53" s="2" t="s">
        <v>86</v>
      </c>
      <c r="F53" s="2" t="s">
        <v>111</v>
      </c>
      <c r="G53" s="2" t="s">
        <v>166</v>
      </c>
      <c r="H53" s="5" t="s">
        <v>28</v>
      </c>
      <c r="I53" s="5">
        <v>104.077181</v>
      </c>
      <c r="J53" s="5">
        <v>30.515635</v>
      </c>
      <c r="K53" s="5" t="s">
        <v>29</v>
      </c>
      <c r="L53" s="5" t="s">
        <v>30</v>
      </c>
      <c r="M53" s="5" t="s">
        <v>24</v>
      </c>
      <c r="N53" s="5" t="s">
        <v>25</v>
      </c>
    </row>
    <row r="54" spans="1:14">
      <c r="A54" s="2" t="s">
        <v>172</v>
      </c>
      <c r="B54" s="7" t="s">
        <v>164</v>
      </c>
      <c r="C54" s="2" t="s">
        <v>173</v>
      </c>
      <c r="D54" s="2" t="s">
        <v>116</v>
      </c>
      <c r="E54" s="2" t="s">
        <v>86</v>
      </c>
      <c r="F54" s="2" t="s">
        <v>111</v>
      </c>
      <c r="G54" s="2" t="s">
        <v>166</v>
      </c>
      <c r="H54" s="5" t="s">
        <v>21</v>
      </c>
      <c r="I54" s="5">
        <v>104.0598</v>
      </c>
      <c r="J54" s="5">
        <v>30.507433</v>
      </c>
      <c r="K54" s="5" t="s">
        <v>65</v>
      </c>
      <c r="L54" s="5" t="s">
        <v>174</v>
      </c>
      <c r="M54" s="5" t="s">
        <v>24</v>
      </c>
      <c r="N54" s="5" t="s">
        <v>25</v>
      </c>
    </row>
    <row r="55" spans="1:14">
      <c r="A55" s="2" t="s">
        <v>175</v>
      </c>
      <c r="B55" s="2" t="s">
        <v>176</v>
      </c>
      <c r="C55" s="2" t="s">
        <v>177</v>
      </c>
      <c r="D55" s="2" t="s">
        <v>144</v>
      </c>
      <c r="E55" s="2" t="s">
        <v>110</v>
      </c>
      <c r="F55" s="2" t="s">
        <v>111</v>
      </c>
      <c r="G55" s="2" t="s">
        <v>178</v>
      </c>
      <c r="H55" s="5" t="s">
        <v>28</v>
      </c>
      <c r="I55" s="5">
        <v>104.266785</v>
      </c>
      <c r="J55" s="5">
        <v>30.894452</v>
      </c>
      <c r="K55" s="5" t="s">
        <v>29</v>
      </c>
      <c r="L55" s="5" t="s">
        <v>30</v>
      </c>
      <c r="M55" s="5" t="s">
        <v>24</v>
      </c>
      <c r="N55" s="5" t="s">
        <v>25</v>
      </c>
    </row>
    <row r="56" spans="1:14">
      <c r="A56" s="2" t="s">
        <v>179</v>
      </c>
      <c r="B56" s="2" t="s">
        <v>176</v>
      </c>
      <c r="C56" s="2" t="s">
        <v>180</v>
      </c>
      <c r="D56" s="2" t="s">
        <v>144</v>
      </c>
      <c r="E56" s="2" t="s">
        <v>110</v>
      </c>
      <c r="F56" s="2" t="s">
        <v>111</v>
      </c>
      <c r="G56" s="2" t="s">
        <v>178</v>
      </c>
      <c r="H56" s="5" t="s">
        <v>21</v>
      </c>
      <c r="I56" s="5">
        <v>103.74606</v>
      </c>
      <c r="J56" s="5">
        <v>29.591045</v>
      </c>
      <c r="K56" s="5" t="s">
        <v>146</v>
      </c>
      <c r="L56" s="5" t="s">
        <v>40</v>
      </c>
      <c r="M56" s="5" t="s">
        <v>24</v>
      </c>
      <c r="N56" s="5" t="s">
        <v>25</v>
      </c>
    </row>
    <row r="57" spans="1:14">
      <c r="A57" s="2" t="s">
        <v>181</v>
      </c>
      <c r="B57" s="2" t="s">
        <v>176</v>
      </c>
      <c r="C57" s="2" t="s">
        <v>182</v>
      </c>
      <c r="D57" s="2" t="s">
        <v>144</v>
      </c>
      <c r="E57" s="2" t="s">
        <v>110</v>
      </c>
      <c r="F57" s="2" t="s">
        <v>111</v>
      </c>
      <c r="G57" s="2" t="s">
        <v>178</v>
      </c>
      <c r="H57" s="5" t="s">
        <v>28</v>
      </c>
      <c r="I57" s="5">
        <v>104.240707</v>
      </c>
      <c r="J57" s="5">
        <v>30.885741</v>
      </c>
      <c r="K57" s="5" t="s">
        <v>29</v>
      </c>
      <c r="L57" s="5" t="s">
        <v>30</v>
      </c>
      <c r="M57" s="5" t="s">
        <v>24</v>
      </c>
      <c r="N57" s="5" t="s">
        <v>25</v>
      </c>
    </row>
    <row r="58" spans="1:14">
      <c r="A58" s="2" t="s">
        <v>183</v>
      </c>
      <c r="B58" s="2" t="s">
        <v>184</v>
      </c>
      <c r="C58" s="2" t="s">
        <v>185</v>
      </c>
      <c r="D58" s="2" t="s">
        <v>109</v>
      </c>
      <c r="E58" s="2" t="s">
        <v>110</v>
      </c>
      <c r="F58" s="2" t="s">
        <v>111</v>
      </c>
      <c r="G58" s="2" t="s">
        <v>112</v>
      </c>
      <c r="H58" s="5" t="s">
        <v>28</v>
      </c>
      <c r="I58" s="5">
        <v>104.172209</v>
      </c>
      <c r="J58" s="5">
        <v>30.592394</v>
      </c>
      <c r="K58" s="5" t="s">
        <v>29</v>
      </c>
      <c r="L58" s="5" t="s">
        <v>30</v>
      </c>
      <c r="M58" s="5" t="s">
        <v>24</v>
      </c>
      <c r="N58" s="5" t="s">
        <v>25</v>
      </c>
    </row>
    <row r="59" spans="1:14">
      <c r="A59" s="2" t="s">
        <v>186</v>
      </c>
      <c r="B59" s="2" t="s">
        <v>184</v>
      </c>
      <c r="C59" s="2" t="s">
        <v>187</v>
      </c>
      <c r="D59" s="2" t="s">
        <v>109</v>
      </c>
      <c r="E59" s="2" t="s">
        <v>110</v>
      </c>
      <c r="F59" s="2" t="s">
        <v>111</v>
      </c>
      <c r="G59" s="2" t="s">
        <v>112</v>
      </c>
      <c r="H59" s="5" t="s">
        <v>28</v>
      </c>
      <c r="I59" s="5">
        <v>104.180224</v>
      </c>
      <c r="J59" s="5">
        <v>30.589914</v>
      </c>
      <c r="K59" s="5" t="s">
        <v>29</v>
      </c>
      <c r="L59" s="5" t="s">
        <v>30</v>
      </c>
      <c r="M59" s="5" t="s">
        <v>24</v>
      </c>
      <c r="N59" s="5" t="s">
        <v>25</v>
      </c>
    </row>
    <row r="60" spans="1:14">
      <c r="A60" s="2" t="s">
        <v>188</v>
      </c>
      <c r="B60" s="2" t="s">
        <v>184</v>
      </c>
      <c r="C60" s="2" t="s">
        <v>187</v>
      </c>
      <c r="D60" s="2" t="s">
        <v>109</v>
      </c>
      <c r="E60" s="2" t="s">
        <v>110</v>
      </c>
      <c r="F60" s="2" t="s">
        <v>111</v>
      </c>
      <c r="G60" s="2" t="s">
        <v>112</v>
      </c>
      <c r="H60" s="5" t="s">
        <v>28</v>
      </c>
      <c r="I60" s="5">
        <v>104.180224</v>
      </c>
      <c r="J60" s="5">
        <v>30.589914</v>
      </c>
      <c r="K60" s="5" t="s">
        <v>29</v>
      </c>
      <c r="L60" s="5" t="s">
        <v>30</v>
      </c>
      <c r="M60" s="5" t="s">
        <v>24</v>
      </c>
      <c r="N60" s="5" t="s">
        <v>25</v>
      </c>
    </row>
    <row r="61" spans="1:14">
      <c r="A61" s="8" t="s">
        <v>189</v>
      </c>
      <c r="B61" s="2" t="s">
        <v>80</v>
      </c>
      <c r="C61" s="2" t="s">
        <v>187</v>
      </c>
      <c r="D61" s="2" t="s">
        <v>109</v>
      </c>
      <c r="E61" s="2" t="s">
        <v>110</v>
      </c>
      <c r="F61" s="2" t="s">
        <v>111</v>
      </c>
      <c r="G61" s="2" t="s">
        <v>112</v>
      </c>
      <c r="H61" s="5" t="s">
        <v>21</v>
      </c>
      <c r="I61" s="5">
        <v>104.168539</v>
      </c>
      <c r="J61" s="5">
        <v>30.593297</v>
      </c>
      <c r="K61" s="5" t="s">
        <v>190</v>
      </c>
      <c r="L61" s="5" t="s">
        <v>191</v>
      </c>
      <c r="M61" s="5" t="s">
        <v>24</v>
      </c>
      <c r="N61" s="5" t="s">
        <v>25</v>
      </c>
    </row>
    <row r="62" spans="1:14">
      <c r="A62" s="8" t="s">
        <v>192</v>
      </c>
      <c r="B62" s="2" t="s">
        <v>80</v>
      </c>
      <c r="C62" s="2" t="s">
        <v>187</v>
      </c>
      <c r="D62" s="2" t="s">
        <v>109</v>
      </c>
      <c r="E62" s="2" t="s">
        <v>110</v>
      </c>
      <c r="F62" s="2" t="s">
        <v>111</v>
      </c>
      <c r="G62" s="2" t="s">
        <v>112</v>
      </c>
      <c r="H62" s="5" t="s">
        <v>28</v>
      </c>
      <c r="I62" s="5">
        <v>104.172642</v>
      </c>
      <c r="J62" s="5">
        <v>30.592629</v>
      </c>
      <c r="K62" s="5" t="s">
        <v>29</v>
      </c>
      <c r="L62" s="5" t="s">
        <v>30</v>
      </c>
      <c r="M62" s="5" t="s">
        <v>24</v>
      </c>
      <c r="N62" s="5" t="s">
        <v>25</v>
      </c>
    </row>
    <row r="63" spans="1:14">
      <c r="A63" s="8" t="s">
        <v>193</v>
      </c>
      <c r="B63" s="2" t="s">
        <v>80</v>
      </c>
      <c r="C63" s="2" t="s">
        <v>187</v>
      </c>
      <c r="D63" s="2" t="s">
        <v>109</v>
      </c>
      <c r="E63" s="2" t="s">
        <v>110</v>
      </c>
      <c r="F63" s="2" t="s">
        <v>111</v>
      </c>
      <c r="G63" s="2" t="s">
        <v>112</v>
      </c>
      <c r="H63" s="5" t="s">
        <v>28</v>
      </c>
      <c r="I63" s="5">
        <v>104.180224</v>
      </c>
      <c r="J63" s="5">
        <v>30.589914</v>
      </c>
      <c r="K63" s="5" t="s">
        <v>29</v>
      </c>
      <c r="L63" s="5" t="s">
        <v>30</v>
      </c>
      <c r="M63" s="5" t="s">
        <v>24</v>
      </c>
      <c r="N63" s="5" t="s">
        <v>25</v>
      </c>
    </row>
    <row r="64" spans="1:14">
      <c r="A64" s="2" t="s">
        <v>194</v>
      </c>
      <c r="B64" s="2" t="s">
        <v>195</v>
      </c>
      <c r="C64" s="2" t="s">
        <v>196</v>
      </c>
      <c r="D64" s="2" t="s">
        <v>109</v>
      </c>
      <c r="E64" s="2" t="s">
        <v>110</v>
      </c>
      <c r="F64" s="2" t="s">
        <v>111</v>
      </c>
      <c r="G64" s="2" t="s">
        <v>197</v>
      </c>
      <c r="H64" s="5" t="s">
        <v>28</v>
      </c>
      <c r="I64" s="5">
        <v>104.092632</v>
      </c>
      <c r="J64" s="5">
        <v>30.679086</v>
      </c>
      <c r="K64" s="5" t="s">
        <v>29</v>
      </c>
      <c r="L64" s="5" t="s">
        <v>30</v>
      </c>
      <c r="M64" s="5" t="s">
        <v>24</v>
      </c>
      <c r="N64" s="5" t="s">
        <v>25</v>
      </c>
    </row>
    <row r="65" spans="1:14">
      <c r="A65" s="2" t="s">
        <v>198</v>
      </c>
      <c r="B65" s="2" t="s">
        <v>195</v>
      </c>
      <c r="C65" s="2" t="s">
        <v>199</v>
      </c>
      <c r="D65" s="2" t="s">
        <v>109</v>
      </c>
      <c r="E65" s="2" t="s">
        <v>110</v>
      </c>
      <c r="F65" s="2" t="s">
        <v>111</v>
      </c>
      <c r="G65" s="2" t="s">
        <v>197</v>
      </c>
      <c r="H65" s="5" t="s">
        <v>28</v>
      </c>
      <c r="I65" s="5">
        <v>104.108956</v>
      </c>
      <c r="J65" s="5">
        <v>30.670373</v>
      </c>
      <c r="K65" s="5" t="s">
        <v>29</v>
      </c>
      <c r="L65" s="5" t="s">
        <v>30</v>
      </c>
      <c r="M65" s="5" t="s">
        <v>24</v>
      </c>
      <c r="N65" s="5" t="s">
        <v>25</v>
      </c>
    </row>
    <row r="66" spans="1:14">
      <c r="A66" s="2" t="s">
        <v>200</v>
      </c>
      <c r="B66" s="2" t="s">
        <v>195</v>
      </c>
      <c r="C66" s="2" t="s">
        <v>201</v>
      </c>
      <c r="D66" s="2" t="s">
        <v>109</v>
      </c>
      <c r="E66" s="2" t="s">
        <v>110</v>
      </c>
      <c r="F66" s="2" t="s">
        <v>111</v>
      </c>
      <c r="G66" s="2" t="s">
        <v>197</v>
      </c>
      <c r="H66" s="5" t="s">
        <v>28</v>
      </c>
      <c r="I66" s="5">
        <v>104.105723</v>
      </c>
      <c r="J66" s="5">
        <v>30.678715</v>
      </c>
      <c r="K66" s="5" t="s">
        <v>29</v>
      </c>
      <c r="L66" s="5" t="s">
        <v>30</v>
      </c>
      <c r="M66" s="5" t="s">
        <v>24</v>
      </c>
      <c r="N66" s="5" t="s">
        <v>25</v>
      </c>
    </row>
    <row r="67" spans="1:14">
      <c r="A67" s="2" t="s">
        <v>202</v>
      </c>
      <c r="B67" s="2" t="s">
        <v>195</v>
      </c>
      <c r="C67" s="2" t="s">
        <v>203</v>
      </c>
      <c r="D67" s="2" t="s">
        <v>109</v>
      </c>
      <c r="E67" s="2" t="s">
        <v>110</v>
      </c>
      <c r="F67" s="2" t="s">
        <v>111</v>
      </c>
      <c r="G67" s="2" t="s">
        <v>197</v>
      </c>
      <c r="H67" s="5" t="s">
        <v>28</v>
      </c>
      <c r="I67" s="5">
        <v>104.108899</v>
      </c>
      <c r="J67" s="5">
        <v>30.671493</v>
      </c>
      <c r="K67" s="5" t="s">
        <v>29</v>
      </c>
      <c r="L67" s="5" t="s">
        <v>30</v>
      </c>
      <c r="M67" s="5" t="s">
        <v>24</v>
      </c>
      <c r="N67" s="5" t="s">
        <v>25</v>
      </c>
    </row>
    <row r="68" spans="1:14">
      <c r="A68" s="2" t="s">
        <v>204</v>
      </c>
      <c r="B68" s="2" t="s">
        <v>195</v>
      </c>
      <c r="C68" s="2" t="s">
        <v>205</v>
      </c>
      <c r="D68" s="2" t="s">
        <v>17</v>
      </c>
      <c r="E68" s="2" t="s">
        <v>18</v>
      </c>
      <c r="F68" s="2" t="s">
        <v>19</v>
      </c>
      <c r="G68" s="2" t="s">
        <v>197</v>
      </c>
      <c r="H68" s="5" t="s">
        <v>21</v>
      </c>
      <c r="I68" s="5">
        <v>104.093293</v>
      </c>
      <c r="J68" s="5">
        <v>30.638418</v>
      </c>
      <c r="K68" s="5" t="s">
        <v>146</v>
      </c>
      <c r="L68" s="5" t="s">
        <v>55</v>
      </c>
      <c r="M68" s="5" t="s">
        <v>24</v>
      </c>
      <c r="N68" s="5" t="s">
        <v>25</v>
      </c>
    </row>
    <row r="69" spans="1:14">
      <c r="A69" s="2" t="s">
        <v>206</v>
      </c>
      <c r="B69" s="2" t="s">
        <v>195</v>
      </c>
      <c r="C69" s="2" t="s">
        <v>207</v>
      </c>
      <c r="D69" s="2" t="s">
        <v>17</v>
      </c>
      <c r="E69" s="2" t="s">
        <v>18</v>
      </c>
      <c r="F69" s="2" t="s">
        <v>19</v>
      </c>
      <c r="G69" s="2" t="s">
        <v>197</v>
      </c>
      <c r="H69" s="5" t="s">
        <v>28</v>
      </c>
      <c r="I69" s="5">
        <v>104.093258</v>
      </c>
      <c r="J69" s="5">
        <v>30.647985</v>
      </c>
      <c r="K69" s="5" t="s">
        <v>29</v>
      </c>
      <c r="L69" s="5" t="s">
        <v>30</v>
      </c>
      <c r="M69" s="5" t="s">
        <v>24</v>
      </c>
      <c r="N69" s="5" t="s">
        <v>25</v>
      </c>
    </row>
    <row r="70" spans="1:14">
      <c r="A70" s="2" t="s">
        <v>208</v>
      </c>
      <c r="B70" s="2" t="s">
        <v>195</v>
      </c>
      <c r="C70" s="2" t="s">
        <v>209</v>
      </c>
      <c r="D70" s="2" t="s">
        <v>17</v>
      </c>
      <c r="E70" s="2" t="s">
        <v>18</v>
      </c>
      <c r="F70" s="2" t="s">
        <v>19</v>
      </c>
      <c r="G70" s="2" t="s">
        <v>197</v>
      </c>
      <c r="H70" s="5" t="s">
        <v>28</v>
      </c>
      <c r="I70" s="5">
        <v>104.086667</v>
      </c>
      <c r="J70" s="5">
        <v>30.65332</v>
      </c>
      <c r="K70" s="5" t="s">
        <v>29</v>
      </c>
      <c r="L70" s="5" t="s">
        <v>30</v>
      </c>
      <c r="M70" s="5" t="s">
        <v>24</v>
      </c>
      <c r="N70" s="5" t="s">
        <v>25</v>
      </c>
    </row>
    <row r="71" spans="1:14">
      <c r="A71" s="2" t="s">
        <v>210</v>
      </c>
      <c r="B71" s="2" t="s">
        <v>211</v>
      </c>
      <c r="C71" s="2" t="s">
        <v>212</v>
      </c>
      <c r="D71" s="2" t="s">
        <v>116</v>
      </c>
      <c r="E71" s="2" t="s">
        <v>86</v>
      </c>
      <c r="F71" s="2" t="s">
        <v>111</v>
      </c>
      <c r="G71" s="2" t="s">
        <v>213</v>
      </c>
      <c r="H71" s="5" t="s">
        <v>28</v>
      </c>
      <c r="I71" s="5">
        <v>104.081545</v>
      </c>
      <c r="J71" s="5">
        <v>30.448331</v>
      </c>
      <c r="K71" s="5" t="s">
        <v>29</v>
      </c>
      <c r="L71" s="5" t="s">
        <v>30</v>
      </c>
      <c r="M71" s="5" t="s">
        <v>24</v>
      </c>
      <c r="N71" s="5" t="s">
        <v>25</v>
      </c>
    </row>
    <row r="72" spans="1:14">
      <c r="A72" s="2" t="s">
        <v>214</v>
      </c>
      <c r="B72" s="2" t="s">
        <v>211</v>
      </c>
      <c r="C72" s="2" t="s">
        <v>215</v>
      </c>
      <c r="D72" s="2" t="s">
        <v>116</v>
      </c>
      <c r="E72" s="2" t="s">
        <v>86</v>
      </c>
      <c r="F72" s="2" t="s">
        <v>111</v>
      </c>
      <c r="G72" s="2" t="s">
        <v>213</v>
      </c>
      <c r="H72" s="5" t="s">
        <v>28</v>
      </c>
      <c r="I72" s="5">
        <v>104.081598</v>
      </c>
      <c r="J72" s="5">
        <v>30.516675</v>
      </c>
      <c r="K72" s="5" t="s">
        <v>29</v>
      </c>
      <c r="L72" s="5" t="s">
        <v>30</v>
      </c>
      <c r="M72" s="5" t="s">
        <v>24</v>
      </c>
      <c r="N72" s="5" t="s">
        <v>25</v>
      </c>
    </row>
    <row r="73" spans="1:14">
      <c r="A73" s="2" t="s">
        <v>216</v>
      </c>
      <c r="B73" s="2" t="s">
        <v>211</v>
      </c>
      <c r="C73" s="2" t="s">
        <v>217</v>
      </c>
      <c r="D73" s="2" t="s">
        <v>116</v>
      </c>
      <c r="E73" s="2" t="s">
        <v>86</v>
      </c>
      <c r="F73" s="2" t="s">
        <v>111</v>
      </c>
      <c r="G73" s="2" t="s">
        <v>213</v>
      </c>
      <c r="H73" s="5" t="s">
        <v>28</v>
      </c>
      <c r="I73" s="5">
        <v>104.079725</v>
      </c>
      <c r="J73" s="5">
        <v>30.458633</v>
      </c>
      <c r="K73" s="5" t="s">
        <v>29</v>
      </c>
      <c r="L73" s="5" t="s">
        <v>30</v>
      </c>
      <c r="M73" s="5" t="s">
        <v>24</v>
      </c>
      <c r="N73" s="5" t="s">
        <v>25</v>
      </c>
    </row>
    <row r="74" spans="1:14">
      <c r="A74" s="2" t="s">
        <v>218</v>
      </c>
      <c r="B74" s="2" t="s">
        <v>211</v>
      </c>
      <c r="C74" s="2" t="s">
        <v>219</v>
      </c>
      <c r="D74" s="2" t="s">
        <v>116</v>
      </c>
      <c r="E74" s="2" t="s">
        <v>86</v>
      </c>
      <c r="F74" s="2" t="s">
        <v>111</v>
      </c>
      <c r="G74" s="2" t="s">
        <v>213</v>
      </c>
      <c r="H74" s="5" t="s">
        <v>28</v>
      </c>
      <c r="I74" s="5">
        <v>104.086417</v>
      </c>
      <c r="J74" s="5">
        <v>30.465494</v>
      </c>
      <c r="K74" s="5" t="s">
        <v>29</v>
      </c>
      <c r="L74" s="5" t="s">
        <v>30</v>
      </c>
      <c r="M74" s="5" t="s">
        <v>24</v>
      </c>
      <c r="N74" s="5" t="s">
        <v>25</v>
      </c>
    </row>
    <row r="75" spans="1:14">
      <c r="A75" s="2" t="s">
        <v>220</v>
      </c>
      <c r="B75" s="2" t="s">
        <v>211</v>
      </c>
      <c r="C75" s="2" t="s">
        <v>217</v>
      </c>
      <c r="D75" s="2" t="s">
        <v>116</v>
      </c>
      <c r="E75" s="2" t="s">
        <v>86</v>
      </c>
      <c r="F75" s="2" t="s">
        <v>111</v>
      </c>
      <c r="G75" s="2" t="s">
        <v>213</v>
      </c>
      <c r="H75" s="5" t="s">
        <v>28</v>
      </c>
      <c r="I75" s="5">
        <v>104.088094</v>
      </c>
      <c r="J75" s="5">
        <v>30.461143</v>
      </c>
      <c r="K75" s="5" t="s">
        <v>29</v>
      </c>
      <c r="L75" s="5" t="s">
        <v>30</v>
      </c>
      <c r="M75" s="5" t="s">
        <v>24</v>
      </c>
      <c r="N75" s="5" t="s">
        <v>25</v>
      </c>
    </row>
    <row r="76" spans="1:14">
      <c r="A76" s="2" t="s">
        <v>221</v>
      </c>
      <c r="B76" s="2" t="s">
        <v>211</v>
      </c>
      <c r="C76" s="2" t="s">
        <v>219</v>
      </c>
      <c r="D76" s="2" t="s">
        <v>116</v>
      </c>
      <c r="E76" s="2" t="s">
        <v>86</v>
      </c>
      <c r="F76" s="2" t="s">
        <v>111</v>
      </c>
      <c r="G76" s="2" t="s">
        <v>213</v>
      </c>
      <c r="H76" s="5" t="s">
        <v>28</v>
      </c>
      <c r="I76" s="5">
        <v>104.088094</v>
      </c>
      <c r="J76" s="5">
        <v>30.461143</v>
      </c>
      <c r="K76" s="5" t="s">
        <v>29</v>
      </c>
      <c r="L76" s="5" t="s">
        <v>30</v>
      </c>
      <c r="M76" s="5" t="s">
        <v>24</v>
      </c>
      <c r="N76" s="5" t="s">
        <v>25</v>
      </c>
    </row>
    <row r="77" spans="1:14">
      <c r="A77" s="2" t="s">
        <v>222</v>
      </c>
      <c r="B77" s="2" t="s">
        <v>211</v>
      </c>
      <c r="C77" s="2" t="s">
        <v>223</v>
      </c>
      <c r="D77" s="2" t="s">
        <v>116</v>
      </c>
      <c r="E77" s="2" t="s">
        <v>86</v>
      </c>
      <c r="F77" s="2" t="s">
        <v>111</v>
      </c>
      <c r="G77" s="2" t="s">
        <v>213</v>
      </c>
      <c r="H77" s="5" t="s">
        <v>28</v>
      </c>
      <c r="I77" s="5">
        <v>104.044928</v>
      </c>
      <c r="J77" s="5">
        <v>30.447203</v>
      </c>
      <c r="K77" s="5" t="s">
        <v>29</v>
      </c>
      <c r="L77" s="5" t="s">
        <v>30</v>
      </c>
      <c r="M77" s="5" t="s">
        <v>24</v>
      </c>
      <c r="N77" s="5" t="s">
        <v>25</v>
      </c>
    </row>
    <row r="78" spans="1:14">
      <c r="A78" s="2" t="s">
        <v>224</v>
      </c>
      <c r="B78" s="2" t="s">
        <v>211</v>
      </c>
      <c r="C78" s="2" t="s">
        <v>223</v>
      </c>
      <c r="D78" s="2" t="s">
        <v>116</v>
      </c>
      <c r="E78" s="2" t="s">
        <v>86</v>
      </c>
      <c r="F78" s="2" t="s">
        <v>111</v>
      </c>
      <c r="G78" s="2" t="s">
        <v>213</v>
      </c>
      <c r="H78" s="5" t="s">
        <v>28</v>
      </c>
      <c r="I78" s="5">
        <v>104.044928</v>
      </c>
      <c r="J78" s="5">
        <v>30.447203</v>
      </c>
      <c r="K78" s="5" t="s">
        <v>29</v>
      </c>
      <c r="L78" s="5" t="s">
        <v>30</v>
      </c>
      <c r="M78" s="5" t="s">
        <v>24</v>
      </c>
      <c r="N78" s="5" t="s">
        <v>25</v>
      </c>
    </row>
    <row r="79" spans="1:14">
      <c r="A79" s="2" t="s">
        <v>225</v>
      </c>
      <c r="B79" s="2" t="s">
        <v>211</v>
      </c>
      <c r="C79" s="2" t="s">
        <v>223</v>
      </c>
      <c r="D79" s="2" t="s">
        <v>116</v>
      </c>
      <c r="E79" s="2" t="s">
        <v>86</v>
      </c>
      <c r="F79" s="2" t="s">
        <v>111</v>
      </c>
      <c r="G79" s="2" t="s">
        <v>213</v>
      </c>
      <c r="H79" s="5" t="s">
        <v>28</v>
      </c>
      <c r="I79" s="5">
        <v>104.044928</v>
      </c>
      <c r="J79" s="5">
        <v>30.447203</v>
      </c>
      <c r="K79" s="5" t="s">
        <v>29</v>
      </c>
      <c r="L79" s="5" t="s">
        <v>30</v>
      </c>
      <c r="M79" s="5" t="s">
        <v>24</v>
      </c>
      <c r="N79" s="5" t="s">
        <v>25</v>
      </c>
    </row>
    <row r="80" spans="1:14">
      <c r="A80" s="2" t="s">
        <v>226</v>
      </c>
      <c r="B80" s="2" t="s">
        <v>211</v>
      </c>
      <c r="C80" s="2" t="s">
        <v>223</v>
      </c>
      <c r="D80" s="2" t="s">
        <v>116</v>
      </c>
      <c r="E80" s="2" t="s">
        <v>86</v>
      </c>
      <c r="F80" s="2" t="s">
        <v>111</v>
      </c>
      <c r="G80" s="2" t="s">
        <v>213</v>
      </c>
      <c r="H80" s="5" t="s">
        <v>28</v>
      </c>
      <c r="I80" s="5">
        <v>104.120575</v>
      </c>
      <c r="J80" s="5">
        <v>30.398959</v>
      </c>
      <c r="K80" s="5" t="s">
        <v>29</v>
      </c>
      <c r="L80" s="5" t="s">
        <v>30</v>
      </c>
      <c r="M80" s="5" t="s">
        <v>24</v>
      </c>
      <c r="N80" s="5" t="s">
        <v>25</v>
      </c>
    </row>
    <row r="81" spans="1:14">
      <c r="A81" s="2" t="s">
        <v>227</v>
      </c>
      <c r="B81" s="2" t="s">
        <v>228</v>
      </c>
      <c r="C81" s="2" t="s">
        <v>229</v>
      </c>
      <c r="D81" s="2" t="s">
        <v>62</v>
      </c>
      <c r="E81" s="2" t="s">
        <v>18</v>
      </c>
      <c r="F81" s="2" t="s">
        <v>63</v>
      </c>
      <c r="G81" s="2" t="s">
        <v>230</v>
      </c>
      <c r="H81" s="5" t="s">
        <v>28</v>
      </c>
      <c r="I81" s="5">
        <v>104.044972</v>
      </c>
      <c r="J81" s="5">
        <v>30.693231</v>
      </c>
      <c r="K81" s="5" t="s">
        <v>29</v>
      </c>
      <c r="L81" s="5" t="s">
        <v>30</v>
      </c>
      <c r="M81" s="5" t="s">
        <v>24</v>
      </c>
      <c r="N81" s="5" t="s">
        <v>25</v>
      </c>
    </row>
    <row r="82" spans="1:14">
      <c r="A82" s="2" t="s">
        <v>231</v>
      </c>
      <c r="B82" s="2" t="s">
        <v>228</v>
      </c>
      <c r="C82" s="2" t="s">
        <v>232</v>
      </c>
      <c r="D82" s="2" t="s">
        <v>62</v>
      </c>
      <c r="E82" s="2" t="s">
        <v>18</v>
      </c>
      <c r="F82" s="2" t="s">
        <v>63</v>
      </c>
      <c r="G82" s="2" t="s">
        <v>230</v>
      </c>
      <c r="H82" s="5" t="s">
        <v>21</v>
      </c>
      <c r="I82" s="5">
        <v>104.013189</v>
      </c>
      <c r="J82" s="5">
        <v>30.710039</v>
      </c>
      <c r="K82" s="5" t="s">
        <v>65</v>
      </c>
      <c r="L82" s="5" t="s">
        <v>233</v>
      </c>
      <c r="M82" s="5" t="s">
        <v>56</v>
      </c>
      <c r="N82" s="5" t="s">
        <v>66</v>
      </c>
    </row>
    <row r="83" spans="1:14">
      <c r="A83" s="2" t="s">
        <v>234</v>
      </c>
      <c r="B83" s="2" t="s">
        <v>228</v>
      </c>
      <c r="C83" s="2" t="s">
        <v>235</v>
      </c>
      <c r="D83" s="2" t="s">
        <v>62</v>
      </c>
      <c r="E83" s="2" t="s">
        <v>18</v>
      </c>
      <c r="F83" s="2" t="s">
        <v>63</v>
      </c>
      <c r="G83" s="2" t="s">
        <v>230</v>
      </c>
      <c r="H83" s="5" t="s">
        <v>28</v>
      </c>
      <c r="I83" s="5">
        <v>104.003588</v>
      </c>
      <c r="J83" s="5">
        <v>30.717203</v>
      </c>
      <c r="K83" s="5" t="s">
        <v>29</v>
      </c>
      <c r="L83" s="5" t="s">
        <v>30</v>
      </c>
      <c r="M83" s="5" t="s">
        <v>24</v>
      </c>
      <c r="N83" s="5" t="s">
        <v>25</v>
      </c>
    </row>
    <row r="84" spans="1:14">
      <c r="A84" s="2" t="s">
        <v>236</v>
      </c>
      <c r="B84" s="2" t="s">
        <v>228</v>
      </c>
      <c r="C84" s="2" t="s">
        <v>235</v>
      </c>
      <c r="D84" s="2" t="s">
        <v>62</v>
      </c>
      <c r="E84" s="2" t="s">
        <v>18</v>
      </c>
      <c r="F84" s="2" t="s">
        <v>63</v>
      </c>
      <c r="G84" s="2" t="s">
        <v>230</v>
      </c>
      <c r="H84" s="5" t="s">
        <v>28</v>
      </c>
      <c r="I84" s="5">
        <v>103.99466</v>
      </c>
      <c r="J84" s="5">
        <v>30.708894</v>
      </c>
      <c r="K84" s="5" t="s">
        <v>29</v>
      </c>
      <c r="L84" s="5" t="s">
        <v>30</v>
      </c>
      <c r="M84" s="5" t="s">
        <v>24</v>
      </c>
      <c r="N84" s="5" t="s">
        <v>25</v>
      </c>
    </row>
    <row r="85" spans="1:14">
      <c r="A85" s="2" t="s">
        <v>237</v>
      </c>
      <c r="B85" s="2" t="s">
        <v>228</v>
      </c>
      <c r="C85" s="2" t="s">
        <v>238</v>
      </c>
      <c r="D85" s="2" t="s">
        <v>62</v>
      </c>
      <c r="E85" s="2" t="s">
        <v>18</v>
      </c>
      <c r="F85" s="2" t="s">
        <v>63</v>
      </c>
      <c r="G85" s="2" t="s">
        <v>230</v>
      </c>
      <c r="H85" s="5" t="s">
        <v>239</v>
      </c>
      <c r="I85" s="5">
        <v>104.01148</v>
      </c>
      <c r="J85" s="5">
        <v>30.730348</v>
      </c>
      <c r="K85" s="5" t="s">
        <v>29</v>
      </c>
      <c r="L85" s="5" t="s">
        <v>30</v>
      </c>
      <c r="M85" s="5" t="s">
        <v>24</v>
      </c>
      <c r="N85" s="5" t="s">
        <v>25</v>
      </c>
    </row>
    <row r="86" spans="1:14">
      <c r="A86" s="2" t="s">
        <v>240</v>
      </c>
      <c r="B86" s="2" t="s">
        <v>228</v>
      </c>
      <c r="C86" s="2" t="s">
        <v>238</v>
      </c>
      <c r="D86" s="2" t="s">
        <v>62</v>
      </c>
      <c r="E86" s="2" t="s">
        <v>18</v>
      </c>
      <c r="F86" s="2" t="s">
        <v>63</v>
      </c>
      <c r="G86" s="2" t="s">
        <v>230</v>
      </c>
      <c r="H86" s="5" t="s">
        <v>28</v>
      </c>
      <c r="I86" s="5">
        <v>104.02</v>
      </c>
      <c r="J86" s="5">
        <v>30.73</v>
      </c>
      <c r="K86" s="5" t="s">
        <v>29</v>
      </c>
      <c r="L86" s="5" t="s">
        <v>30</v>
      </c>
      <c r="M86" s="5" t="s">
        <v>24</v>
      </c>
      <c r="N86" s="5" t="s">
        <v>25</v>
      </c>
    </row>
    <row r="87" spans="1:14">
      <c r="A87" s="2" t="s">
        <v>241</v>
      </c>
      <c r="B87" s="2" t="s">
        <v>242</v>
      </c>
      <c r="C87" s="2" t="s">
        <v>243</v>
      </c>
      <c r="D87" s="2" t="s">
        <v>244</v>
      </c>
      <c r="E87" s="2" t="s">
        <v>245</v>
      </c>
      <c r="F87" s="2" t="s">
        <v>246</v>
      </c>
      <c r="G87" s="2" t="s">
        <v>247</v>
      </c>
      <c r="H87" s="5" t="s">
        <v>239</v>
      </c>
      <c r="I87" s="5">
        <v>102.780346</v>
      </c>
      <c r="J87" s="5">
        <v>24.956906</v>
      </c>
      <c r="K87" s="5" t="s">
        <v>29</v>
      </c>
      <c r="L87" s="5" t="s">
        <v>30</v>
      </c>
      <c r="M87" s="5" t="s">
        <v>24</v>
      </c>
      <c r="N87" s="5" t="s">
        <v>25</v>
      </c>
    </row>
    <row r="88" spans="1:14">
      <c r="A88" s="2" t="s">
        <v>248</v>
      </c>
      <c r="B88" s="2" t="s">
        <v>242</v>
      </c>
      <c r="C88" s="2" t="s">
        <v>243</v>
      </c>
      <c r="D88" s="2" t="s">
        <v>244</v>
      </c>
      <c r="E88" s="2" t="s">
        <v>245</v>
      </c>
      <c r="F88" s="2" t="s">
        <v>246</v>
      </c>
      <c r="G88" s="2" t="s">
        <v>247</v>
      </c>
      <c r="H88" s="5" t="s">
        <v>239</v>
      </c>
      <c r="I88" s="5">
        <v>102.780346</v>
      </c>
      <c r="J88" s="5">
        <v>24.956906</v>
      </c>
      <c r="K88" s="5" t="s">
        <v>29</v>
      </c>
      <c r="L88" s="5" t="s">
        <v>30</v>
      </c>
      <c r="M88" s="5" t="s">
        <v>24</v>
      </c>
      <c r="N88" s="5" t="s">
        <v>25</v>
      </c>
    </row>
    <row r="89" spans="1:14">
      <c r="A89" s="2" t="s">
        <v>249</v>
      </c>
      <c r="B89" s="2" t="s">
        <v>242</v>
      </c>
      <c r="C89" s="2" t="s">
        <v>250</v>
      </c>
      <c r="D89" s="2" t="s">
        <v>244</v>
      </c>
      <c r="E89" s="2" t="s">
        <v>245</v>
      </c>
      <c r="F89" s="2" t="s">
        <v>246</v>
      </c>
      <c r="G89" s="2" t="s">
        <v>247</v>
      </c>
      <c r="H89" s="5" t="s">
        <v>28</v>
      </c>
      <c r="I89" s="5">
        <v>102.780346</v>
      </c>
      <c r="J89" s="5">
        <v>24.956906</v>
      </c>
      <c r="K89" s="5" t="s">
        <v>29</v>
      </c>
      <c r="L89" s="5" t="s">
        <v>30</v>
      </c>
      <c r="M89" s="5" t="s">
        <v>24</v>
      </c>
      <c r="N89" s="5" t="s">
        <v>25</v>
      </c>
    </row>
    <row r="90" spans="1:14">
      <c r="A90" s="2" t="s">
        <v>251</v>
      </c>
      <c r="B90" s="2" t="s">
        <v>252</v>
      </c>
      <c r="C90" s="2" t="s">
        <v>253</v>
      </c>
      <c r="D90" s="2" t="s">
        <v>254</v>
      </c>
      <c r="E90" s="2" t="s">
        <v>255</v>
      </c>
      <c r="F90" s="2" t="s">
        <v>256</v>
      </c>
      <c r="G90" s="2" t="s">
        <v>257</v>
      </c>
      <c r="H90" s="5" t="s">
        <v>28</v>
      </c>
      <c r="I90" s="5">
        <v>102.699256</v>
      </c>
      <c r="J90" s="5">
        <v>25.087308</v>
      </c>
      <c r="K90" s="5" t="s">
        <v>29</v>
      </c>
      <c r="L90" s="5" t="s">
        <v>30</v>
      </c>
      <c r="M90" s="5" t="s">
        <v>24</v>
      </c>
      <c r="N90" s="5" t="s">
        <v>25</v>
      </c>
    </row>
    <row r="91" spans="1:14">
      <c r="A91" s="2" t="s">
        <v>258</v>
      </c>
      <c r="B91" s="2" t="s">
        <v>252</v>
      </c>
      <c r="C91" s="2" t="s">
        <v>259</v>
      </c>
      <c r="D91" s="2" t="s">
        <v>254</v>
      </c>
      <c r="E91" s="2" t="s">
        <v>255</v>
      </c>
      <c r="F91" s="2" t="s">
        <v>256</v>
      </c>
      <c r="G91" s="2" t="s">
        <v>257</v>
      </c>
      <c r="H91" s="5" t="s">
        <v>28</v>
      </c>
      <c r="I91" s="5">
        <v>102.716927</v>
      </c>
      <c r="J91" s="5">
        <v>25.09512</v>
      </c>
      <c r="K91" s="5" t="s">
        <v>29</v>
      </c>
      <c r="L91" s="5" t="s">
        <v>30</v>
      </c>
      <c r="M91" s="5" t="s">
        <v>24</v>
      </c>
      <c r="N91" s="5" t="s">
        <v>25</v>
      </c>
    </row>
    <row r="92" spans="1:14">
      <c r="A92" s="2" t="s">
        <v>260</v>
      </c>
      <c r="B92" s="2" t="s">
        <v>252</v>
      </c>
      <c r="C92" s="2" t="s">
        <v>261</v>
      </c>
      <c r="D92" s="2" t="s">
        <v>254</v>
      </c>
      <c r="E92" s="2" t="s">
        <v>255</v>
      </c>
      <c r="F92" s="2" t="s">
        <v>256</v>
      </c>
      <c r="G92" s="2" t="s">
        <v>257</v>
      </c>
      <c r="H92" s="5" t="s">
        <v>28</v>
      </c>
      <c r="I92" s="5">
        <v>102.714049</v>
      </c>
      <c r="J92" s="5">
        <v>25.077425</v>
      </c>
      <c r="K92" s="5" t="s">
        <v>29</v>
      </c>
      <c r="L92" s="5" t="s">
        <v>30</v>
      </c>
      <c r="M92" s="5" t="s">
        <v>24</v>
      </c>
      <c r="N92" s="5" t="s">
        <v>25</v>
      </c>
    </row>
    <row r="93" spans="1:14">
      <c r="A93" s="2" t="s">
        <v>262</v>
      </c>
      <c r="B93" s="2" t="s">
        <v>263</v>
      </c>
      <c r="C93" s="2" t="s">
        <v>264</v>
      </c>
      <c r="D93" s="2" t="s">
        <v>254</v>
      </c>
      <c r="E93" s="2" t="s">
        <v>255</v>
      </c>
      <c r="F93" s="2" t="s">
        <v>256</v>
      </c>
      <c r="G93" s="2" t="s">
        <v>265</v>
      </c>
      <c r="H93" s="5" t="s">
        <v>239</v>
      </c>
      <c r="I93" s="5">
        <v>102.742361</v>
      </c>
      <c r="J93" s="5">
        <v>25.119413</v>
      </c>
      <c r="K93" s="5" t="s">
        <v>29</v>
      </c>
      <c r="L93" s="5" t="s">
        <v>30</v>
      </c>
      <c r="M93" s="5" t="s">
        <v>24</v>
      </c>
      <c r="N93" s="5" t="s">
        <v>167</v>
      </c>
    </row>
    <row r="94" spans="1:14">
      <c r="A94" s="2" t="s">
        <v>266</v>
      </c>
      <c r="B94" s="2" t="s">
        <v>263</v>
      </c>
      <c r="C94" s="2" t="s">
        <v>267</v>
      </c>
      <c r="D94" s="2" t="s">
        <v>254</v>
      </c>
      <c r="E94" s="2" t="s">
        <v>255</v>
      </c>
      <c r="F94" s="2" t="s">
        <v>256</v>
      </c>
      <c r="G94" s="2" t="s">
        <v>265</v>
      </c>
      <c r="H94" s="5" t="s">
        <v>28</v>
      </c>
      <c r="I94" s="5">
        <v>102.768789</v>
      </c>
      <c r="J94" s="5">
        <v>25.091608</v>
      </c>
      <c r="K94" s="5" t="s">
        <v>29</v>
      </c>
      <c r="L94" s="5" t="s">
        <v>30</v>
      </c>
      <c r="M94" s="5" t="s">
        <v>24</v>
      </c>
      <c r="N94" s="5" t="s">
        <v>25</v>
      </c>
    </row>
    <row r="95" spans="1:14">
      <c r="A95" s="2" t="s">
        <v>268</v>
      </c>
      <c r="B95" s="2" t="s">
        <v>263</v>
      </c>
      <c r="C95" s="2" t="s">
        <v>267</v>
      </c>
      <c r="D95" s="2" t="s">
        <v>254</v>
      </c>
      <c r="E95" s="2" t="s">
        <v>255</v>
      </c>
      <c r="F95" s="2" t="s">
        <v>256</v>
      </c>
      <c r="G95" s="2" t="s">
        <v>265</v>
      </c>
      <c r="H95" s="5" t="s">
        <v>28</v>
      </c>
      <c r="I95" s="5">
        <v>102.762447</v>
      </c>
      <c r="J95" s="5">
        <v>25.125989</v>
      </c>
      <c r="K95" s="5" t="s">
        <v>29</v>
      </c>
      <c r="L95" s="5" t="s">
        <v>30</v>
      </c>
      <c r="M95" s="5" t="s">
        <v>24</v>
      </c>
      <c r="N95" s="5" t="s">
        <v>25</v>
      </c>
    </row>
    <row r="96" spans="1:14">
      <c r="A96" s="2" t="s">
        <v>269</v>
      </c>
      <c r="B96" s="2" t="s">
        <v>263</v>
      </c>
      <c r="C96" s="2" t="s">
        <v>270</v>
      </c>
      <c r="D96" s="2" t="s">
        <v>254</v>
      </c>
      <c r="E96" s="2" t="s">
        <v>255</v>
      </c>
      <c r="F96" s="2" t="s">
        <v>256</v>
      </c>
      <c r="G96" s="2" t="s">
        <v>265</v>
      </c>
      <c r="H96" s="5" t="s">
        <v>28</v>
      </c>
      <c r="I96" s="5">
        <v>102.611809</v>
      </c>
      <c r="J96" s="5">
        <v>25.095013</v>
      </c>
      <c r="K96" s="5" t="s">
        <v>29</v>
      </c>
      <c r="L96" s="5" t="s">
        <v>30</v>
      </c>
      <c r="M96" s="5" t="s">
        <v>24</v>
      </c>
      <c r="N96" s="5" t="s">
        <v>25</v>
      </c>
    </row>
    <row r="97" spans="1:14">
      <c r="A97" s="2" t="s">
        <v>271</v>
      </c>
      <c r="B97" s="2" t="s">
        <v>272</v>
      </c>
      <c r="C97" s="2" t="s">
        <v>273</v>
      </c>
      <c r="D97" s="2" t="s">
        <v>254</v>
      </c>
      <c r="E97" s="2" t="s">
        <v>255</v>
      </c>
      <c r="F97" s="2" t="s">
        <v>256</v>
      </c>
      <c r="G97" s="2" t="s">
        <v>274</v>
      </c>
      <c r="H97" s="5" t="s">
        <v>28</v>
      </c>
      <c r="I97" s="5">
        <v>102.74119</v>
      </c>
      <c r="J97" s="5">
        <v>25.054992</v>
      </c>
      <c r="K97" s="5" t="s">
        <v>29</v>
      </c>
      <c r="L97" s="5" t="s">
        <v>30</v>
      </c>
      <c r="M97" s="5" t="s">
        <v>24</v>
      </c>
      <c r="N97" s="5" t="s">
        <v>25</v>
      </c>
    </row>
    <row r="98" spans="1:14">
      <c r="A98" s="2" t="s">
        <v>275</v>
      </c>
      <c r="B98" s="2" t="s">
        <v>272</v>
      </c>
      <c r="C98" s="2" t="s">
        <v>273</v>
      </c>
      <c r="D98" s="2" t="s">
        <v>254</v>
      </c>
      <c r="E98" s="2" t="s">
        <v>255</v>
      </c>
      <c r="F98" s="2" t="s">
        <v>256</v>
      </c>
      <c r="G98" s="2" t="s">
        <v>274</v>
      </c>
      <c r="H98" s="5" t="s">
        <v>28</v>
      </c>
      <c r="I98" s="5">
        <v>102.741614</v>
      </c>
      <c r="J98" s="5">
        <v>25.054214</v>
      </c>
      <c r="K98" s="5" t="s">
        <v>29</v>
      </c>
      <c r="L98" s="5" t="s">
        <v>30</v>
      </c>
      <c r="M98" s="5" t="s">
        <v>24</v>
      </c>
      <c r="N98" s="5" t="s">
        <v>25</v>
      </c>
    </row>
    <row r="99" spans="1:14">
      <c r="A99" s="2" t="s">
        <v>276</v>
      </c>
      <c r="B99" s="2" t="s">
        <v>272</v>
      </c>
      <c r="C99" s="2" t="s">
        <v>277</v>
      </c>
      <c r="D99" s="2" t="s">
        <v>254</v>
      </c>
      <c r="E99" s="2" t="s">
        <v>255</v>
      </c>
      <c r="F99" s="2" t="s">
        <v>256</v>
      </c>
      <c r="G99" s="2" t="s">
        <v>274</v>
      </c>
      <c r="H99" s="5" t="s">
        <v>28</v>
      </c>
      <c r="I99" s="5">
        <v>102.733673</v>
      </c>
      <c r="J99" s="5">
        <v>25.074855</v>
      </c>
      <c r="K99" s="5" t="s">
        <v>29</v>
      </c>
      <c r="L99" s="5" t="s">
        <v>30</v>
      </c>
      <c r="M99" s="5" t="s">
        <v>24</v>
      </c>
      <c r="N99" s="5" t="s">
        <v>25</v>
      </c>
    </row>
    <row r="100" spans="1:14">
      <c r="A100" s="2" t="s">
        <v>278</v>
      </c>
      <c r="B100" s="2" t="s">
        <v>279</v>
      </c>
      <c r="C100" s="2" t="s">
        <v>280</v>
      </c>
      <c r="D100" s="2" t="s">
        <v>254</v>
      </c>
      <c r="E100" s="2" t="s">
        <v>255</v>
      </c>
      <c r="F100" s="2" t="s">
        <v>256</v>
      </c>
      <c r="G100" s="2" t="s">
        <v>257</v>
      </c>
      <c r="H100" s="5" t="s">
        <v>28</v>
      </c>
      <c r="I100" s="5">
        <v>102.692497</v>
      </c>
      <c r="J100" s="5">
        <v>25.063367</v>
      </c>
      <c r="K100" s="5" t="s">
        <v>29</v>
      </c>
      <c r="L100" s="5" t="s">
        <v>30</v>
      </c>
      <c r="M100" s="5" t="s">
        <v>24</v>
      </c>
      <c r="N100" s="5" t="s">
        <v>25</v>
      </c>
    </row>
    <row r="101" spans="1:14">
      <c r="A101" s="2" t="s">
        <v>281</v>
      </c>
      <c r="B101" s="2" t="s">
        <v>279</v>
      </c>
      <c r="C101" s="2" t="s">
        <v>282</v>
      </c>
      <c r="D101" s="2" t="s">
        <v>254</v>
      </c>
      <c r="E101" s="2" t="s">
        <v>255</v>
      </c>
      <c r="F101" s="2" t="s">
        <v>256</v>
      </c>
      <c r="G101" s="2" t="s">
        <v>283</v>
      </c>
      <c r="H101" s="5" t="s">
        <v>21</v>
      </c>
      <c r="I101" s="5">
        <v>102.654534</v>
      </c>
      <c r="J101" s="5">
        <v>25.053023</v>
      </c>
      <c r="K101" s="5" t="s">
        <v>146</v>
      </c>
      <c r="L101" s="5" t="s">
        <v>147</v>
      </c>
      <c r="M101" s="5" t="s">
        <v>56</v>
      </c>
      <c r="N101" s="5" t="s">
        <v>167</v>
      </c>
    </row>
    <row r="102" spans="1:14">
      <c r="A102" s="2" t="s">
        <v>284</v>
      </c>
      <c r="B102" s="2" t="s">
        <v>279</v>
      </c>
      <c r="C102" s="2" t="s">
        <v>285</v>
      </c>
      <c r="D102" s="2" t="s">
        <v>254</v>
      </c>
      <c r="E102" s="2" t="s">
        <v>255</v>
      </c>
      <c r="F102" s="2" t="s">
        <v>256</v>
      </c>
      <c r="G102" s="2" t="s">
        <v>283</v>
      </c>
      <c r="H102" s="5" t="s">
        <v>28</v>
      </c>
      <c r="I102" s="5">
        <v>102.657399</v>
      </c>
      <c r="J102" s="5">
        <v>25.063275</v>
      </c>
      <c r="K102" s="5" t="s">
        <v>29</v>
      </c>
      <c r="L102" s="5" t="s">
        <v>30</v>
      </c>
      <c r="M102" s="5" t="s">
        <v>24</v>
      </c>
      <c r="N102" s="5" t="s">
        <v>25</v>
      </c>
    </row>
    <row r="103" spans="1:14">
      <c r="A103" s="2" t="s">
        <v>286</v>
      </c>
      <c r="B103" s="2" t="s">
        <v>279</v>
      </c>
      <c r="C103" s="2" t="s">
        <v>287</v>
      </c>
      <c r="D103" s="2" t="s">
        <v>254</v>
      </c>
      <c r="E103" s="2" t="s">
        <v>255</v>
      </c>
      <c r="F103" s="2" t="s">
        <v>256</v>
      </c>
      <c r="G103" s="2" t="s">
        <v>283</v>
      </c>
      <c r="H103" s="5" t="s">
        <v>28</v>
      </c>
      <c r="I103" s="5">
        <v>102.671073</v>
      </c>
      <c r="J103" s="5">
        <v>25.085802</v>
      </c>
      <c r="K103" s="5" t="s">
        <v>29</v>
      </c>
      <c r="L103" s="5" t="s">
        <v>30</v>
      </c>
      <c r="M103" s="5" t="s">
        <v>24</v>
      </c>
      <c r="N103" s="5" t="s">
        <v>25</v>
      </c>
    </row>
    <row r="104" spans="1:14">
      <c r="A104" s="2" t="s">
        <v>288</v>
      </c>
      <c r="B104" s="2" t="s">
        <v>289</v>
      </c>
      <c r="C104" s="2" t="s">
        <v>290</v>
      </c>
      <c r="D104" s="2" t="s">
        <v>244</v>
      </c>
      <c r="E104" s="2" t="s">
        <v>245</v>
      </c>
      <c r="F104" s="2" t="s">
        <v>246</v>
      </c>
      <c r="G104" s="2" t="s">
        <v>291</v>
      </c>
      <c r="H104" s="5" t="s">
        <v>28</v>
      </c>
      <c r="I104" s="5">
        <v>102.714463</v>
      </c>
      <c r="J104" s="5">
        <v>25.02987</v>
      </c>
      <c r="K104" s="5" t="s">
        <v>29</v>
      </c>
      <c r="L104" s="5" t="s">
        <v>30</v>
      </c>
      <c r="M104" s="5" t="s">
        <v>24</v>
      </c>
      <c r="N104" s="5" t="s">
        <v>25</v>
      </c>
    </row>
    <row r="105" spans="1:14">
      <c r="A105" s="2" t="s">
        <v>292</v>
      </c>
      <c r="B105" s="2" t="s">
        <v>289</v>
      </c>
      <c r="C105" s="2" t="s">
        <v>293</v>
      </c>
      <c r="D105" s="2" t="s">
        <v>244</v>
      </c>
      <c r="E105" s="2" t="s">
        <v>245</v>
      </c>
      <c r="F105" s="2" t="s">
        <v>246</v>
      </c>
      <c r="G105" s="2" t="s">
        <v>294</v>
      </c>
      <c r="H105" s="5" t="s">
        <v>21</v>
      </c>
      <c r="I105" s="5">
        <v>102.717828</v>
      </c>
      <c r="J105" s="5">
        <v>25.025286</v>
      </c>
      <c r="K105" s="5" t="s">
        <v>146</v>
      </c>
      <c r="L105" s="5" t="s">
        <v>147</v>
      </c>
      <c r="M105" s="5" t="s">
        <v>295</v>
      </c>
      <c r="N105" s="5" t="s">
        <v>167</v>
      </c>
    </row>
    <row r="106" spans="1:14">
      <c r="A106" s="2" t="s">
        <v>296</v>
      </c>
      <c r="B106" s="2" t="s">
        <v>289</v>
      </c>
      <c r="C106" s="2" t="s">
        <v>297</v>
      </c>
      <c r="D106" s="2" t="s">
        <v>244</v>
      </c>
      <c r="E106" s="2" t="s">
        <v>245</v>
      </c>
      <c r="F106" s="2" t="s">
        <v>246</v>
      </c>
      <c r="G106" s="2" t="s">
        <v>291</v>
      </c>
      <c r="H106" s="5" t="s">
        <v>28</v>
      </c>
      <c r="I106" s="5">
        <v>102.695891</v>
      </c>
      <c r="J106" s="5">
        <v>24.946842</v>
      </c>
      <c r="K106" s="5" t="s">
        <v>29</v>
      </c>
      <c r="L106" s="5" t="s">
        <v>30</v>
      </c>
      <c r="M106" s="5" t="s">
        <v>24</v>
      </c>
      <c r="N106" s="5" t="s">
        <v>25</v>
      </c>
    </row>
    <row r="107" spans="1:14">
      <c r="A107" s="2" t="s">
        <v>298</v>
      </c>
      <c r="B107" s="2" t="s">
        <v>289</v>
      </c>
      <c r="C107" s="2" t="s">
        <v>299</v>
      </c>
      <c r="D107" s="2" t="s">
        <v>244</v>
      </c>
      <c r="E107" s="2" t="s">
        <v>245</v>
      </c>
      <c r="F107" s="2" t="s">
        <v>246</v>
      </c>
      <c r="G107" s="2" t="s">
        <v>294</v>
      </c>
      <c r="H107" s="5" t="s">
        <v>28</v>
      </c>
      <c r="I107" s="5">
        <v>102.774469</v>
      </c>
      <c r="J107" s="5">
        <v>24.976609</v>
      </c>
      <c r="K107" s="5" t="s">
        <v>29</v>
      </c>
      <c r="L107" s="5" t="s">
        <v>30</v>
      </c>
      <c r="M107" s="5" t="s">
        <v>24</v>
      </c>
      <c r="N107" s="5" t="s">
        <v>25</v>
      </c>
    </row>
    <row r="108" spans="1:14">
      <c r="A108" s="2" t="s">
        <v>300</v>
      </c>
      <c r="B108" s="2" t="s">
        <v>289</v>
      </c>
      <c r="C108" s="2" t="s">
        <v>301</v>
      </c>
      <c r="D108" s="2" t="s">
        <v>244</v>
      </c>
      <c r="E108" s="2" t="s">
        <v>245</v>
      </c>
      <c r="F108" s="2" t="s">
        <v>246</v>
      </c>
      <c r="G108" s="2" t="s">
        <v>291</v>
      </c>
      <c r="H108" s="5" t="s">
        <v>28</v>
      </c>
      <c r="I108" s="5">
        <v>102.699675</v>
      </c>
      <c r="J108" s="5">
        <v>24.947529</v>
      </c>
      <c r="K108" s="5" t="s">
        <v>29</v>
      </c>
      <c r="L108" s="5" t="s">
        <v>30</v>
      </c>
      <c r="M108" s="5" t="s">
        <v>24</v>
      </c>
      <c r="N108" s="5" t="s">
        <v>25</v>
      </c>
    </row>
    <row r="109" spans="1:14">
      <c r="A109" s="2" t="s">
        <v>302</v>
      </c>
      <c r="B109" s="2" t="s">
        <v>289</v>
      </c>
      <c r="C109" s="2" t="s">
        <v>303</v>
      </c>
      <c r="D109" s="2" t="s">
        <v>244</v>
      </c>
      <c r="E109" s="2" t="s">
        <v>245</v>
      </c>
      <c r="F109" s="2" t="s">
        <v>246</v>
      </c>
      <c r="G109" s="2" t="s">
        <v>294</v>
      </c>
      <c r="H109" s="5" t="s">
        <v>28</v>
      </c>
      <c r="I109" s="5">
        <v>102.73906</v>
      </c>
      <c r="J109" s="5">
        <v>24.971869</v>
      </c>
      <c r="K109" s="5" t="s">
        <v>29</v>
      </c>
      <c r="L109" s="5" t="s">
        <v>30</v>
      </c>
      <c r="M109" s="5" t="s">
        <v>24</v>
      </c>
      <c r="N109" s="5" t="s">
        <v>25</v>
      </c>
    </row>
    <row r="110" spans="1:14">
      <c r="A110" s="2" t="s">
        <v>304</v>
      </c>
      <c r="B110" s="2" t="s">
        <v>80</v>
      </c>
      <c r="C110" s="2" t="s">
        <v>305</v>
      </c>
      <c r="D110" s="2" t="s">
        <v>62</v>
      </c>
      <c r="E110" s="2" t="s">
        <v>18</v>
      </c>
      <c r="F110" s="2" t="s">
        <v>63</v>
      </c>
      <c r="G110" s="2" t="s">
        <v>76</v>
      </c>
      <c r="H110" s="5" t="s">
        <v>28</v>
      </c>
      <c r="I110" s="5">
        <v>103.95061</v>
      </c>
      <c r="J110" s="5">
        <v>30.770008</v>
      </c>
      <c r="K110" s="5" t="s">
        <v>29</v>
      </c>
      <c r="L110" s="5" t="s">
        <v>30</v>
      </c>
      <c r="M110" s="5" t="s">
        <v>24</v>
      </c>
      <c r="N110" s="5" t="s">
        <v>25</v>
      </c>
    </row>
    <row r="111" spans="1:14">
      <c r="A111" s="2" t="s">
        <v>306</v>
      </c>
      <c r="B111" s="2" t="s">
        <v>80</v>
      </c>
      <c r="C111" s="2" t="s">
        <v>307</v>
      </c>
      <c r="D111" s="2" t="s">
        <v>254</v>
      </c>
      <c r="E111" s="2" t="s">
        <v>255</v>
      </c>
      <c r="F111" s="2" t="s">
        <v>256</v>
      </c>
      <c r="G111" s="2" t="s">
        <v>265</v>
      </c>
      <c r="H111" s="5" t="s">
        <v>28</v>
      </c>
      <c r="I111" s="5">
        <v>102.743271</v>
      </c>
      <c r="J111" s="5">
        <v>25.11076</v>
      </c>
      <c r="K111" s="5" t="s">
        <v>29</v>
      </c>
      <c r="L111" s="5" t="s">
        <v>30</v>
      </c>
      <c r="M111" s="5" t="s">
        <v>24</v>
      </c>
      <c r="N111" s="5" t="s">
        <v>25</v>
      </c>
    </row>
    <row r="112" spans="1:14">
      <c r="A112" s="2" t="s">
        <v>308</v>
      </c>
      <c r="B112" s="2" t="s">
        <v>80</v>
      </c>
      <c r="C112" s="2" t="s">
        <v>309</v>
      </c>
      <c r="D112" s="2" t="s">
        <v>244</v>
      </c>
      <c r="E112" s="2" t="s">
        <v>245</v>
      </c>
      <c r="F112" s="2" t="s">
        <v>246</v>
      </c>
      <c r="G112" s="2" t="s">
        <v>247</v>
      </c>
      <c r="H112" s="5" t="s">
        <v>28</v>
      </c>
      <c r="I112" s="5">
        <v>102.767799</v>
      </c>
      <c r="J112" s="5">
        <v>24.985322</v>
      </c>
      <c r="K112" s="5" t="s">
        <v>29</v>
      </c>
      <c r="L112" s="5" t="s">
        <v>30</v>
      </c>
      <c r="M112" s="5" t="s">
        <v>24</v>
      </c>
      <c r="N112" s="5" t="s">
        <v>25</v>
      </c>
    </row>
    <row r="113" spans="1:14">
      <c r="A113" s="3" t="s">
        <v>310</v>
      </c>
      <c r="B113" s="2" t="s">
        <v>80</v>
      </c>
      <c r="C113" s="2" t="s">
        <v>311</v>
      </c>
      <c r="D113" s="2" t="s">
        <v>144</v>
      </c>
      <c r="E113" s="2" t="s">
        <v>110</v>
      </c>
      <c r="F113" s="2" t="s">
        <v>111</v>
      </c>
      <c r="G113" s="2" t="s">
        <v>312</v>
      </c>
      <c r="H113" s="5" t="s">
        <v>21</v>
      </c>
      <c r="I113" s="5">
        <v>104.141467</v>
      </c>
      <c r="J113" s="5">
        <v>30.715804</v>
      </c>
      <c r="K113" s="5" t="s">
        <v>133</v>
      </c>
      <c r="L113" s="5" t="s">
        <v>34</v>
      </c>
      <c r="M113" s="5" t="s">
        <v>24</v>
      </c>
      <c r="N113" s="5" t="s">
        <v>25</v>
      </c>
    </row>
    <row r="114" spans="1:14">
      <c r="A114" s="2" t="s">
        <v>313</v>
      </c>
      <c r="B114" s="2" t="s">
        <v>130</v>
      </c>
      <c r="C114" s="2" t="s">
        <v>314</v>
      </c>
      <c r="D114" s="2" t="s">
        <v>62</v>
      </c>
      <c r="E114" s="2" t="s">
        <v>18</v>
      </c>
      <c r="F114" s="2" t="s">
        <v>63</v>
      </c>
      <c r="G114" s="2" t="s">
        <v>132</v>
      </c>
      <c r="H114" s="5" t="s">
        <v>28</v>
      </c>
      <c r="I114" s="5">
        <v>103.978542</v>
      </c>
      <c r="J114" s="5">
        <v>30.748312</v>
      </c>
      <c r="K114" s="5" t="s">
        <v>29</v>
      </c>
      <c r="L114" s="5" t="s">
        <v>30</v>
      </c>
      <c r="M114" s="5" t="s">
        <v>295</v>
      </c>
      <c r="N114" s="5" t="s">
        <v>25</v>
      </c>
    </row>
    <row r="115" spans="1:14">
      <c r="A115" s="2" t="s">
        <v>315</v>
      </c>
      <c r="B115" s="2" t="s">
        <v>80</v>
      </c>
      <c r="C115" s="2" t="s">
        <v>316</v>
      </c>
      <c r="D115" s="2" t="s">
        <v>109</v>
      </c>
      <c r="E115" s="2" t="s">
        <v>110</v>
      </c>
      <c r="F115" s="2" t="s">
        <v>111</v>
      </c>
      <c r="G115" s="2" t="s">
        <v>112</v>
      </c>
      <c r="H115" s="5" t="s">
        <v>28</v>
      </c>
      <c r="I115" s="5">
        <v>104.208946</v>
      </c>
      <c r="J115" s="5">
        <v>30.581662</v>
      </c>
      <c r="K115" s="5" t="s">
        <v>29</v>
      </c>
      <c r="L115" s="5" t="s">
        <v>30</v>
      </c>
      <c r="M115" s="5" t="s">
        <v>24</v>
      </c>
      <c r="N115" s="5" t="s">
        <v>25</v>
      </c>
    </row>
    <row r="116" spans="1:14">
      <c r="A116" s="7" t="s">
        <v>317</v>
      </c>
      <c r="B116" s="2" t="s">
        <v>80</v>
      </c>
      <c r="C116" s="2" t="s">
        <v>318</v>
      </c>
      <c r="D116" s="2" t="s">
        <v>109</v>
      </c>
      <c r="E116" s="2" t="s">
        <v>110</v>
      </c>
      <c r="F116" s="2" t="s">
        <v>111</v>
      </c>
      <c r="G116" s="2" t="s">
        <v>319</v>
      </c>
      <c r="H116" s="5" t="s">
        <v>28</v>
      </c>
      <c r="I116" s="5">
        <v>104.246193</v>
      </c>
      <c r="J116" s="5">
        <v>30.584604</v>
      </c>
      <c r="K116" s="5" t="s">
        <v>29</v>
      </c>
      <c r="L116" s="5" t="s">
        <v>30</v>
      </c>
      <c r="M116" s="5" t="s">
        <v>295</v>
      </c>
      <c r="N116" s="5" t="s">
        <v>25</v>
      </c>
    </row>
    <row r="117" spans="1:14">
      <c r="A117" s="2" t="s">
        <v>320</v>
      </c>
      <c r="B117" s="2" t="s">
        <v>80</v>
      </c>
      <c r="C117" s="5" t="s">
        <v>321</v>
      </c>
      <c r="D117" s="2" t="s">
        <v>17</v>
      </c>
      <c r="E117" s="2" t="s">
        <v>18</v>
      </c>
      <c r="F117" s="2" t="s">
        <v>19</v>
      </c>
      <c r="G117" s="2" t="s">
        <v>319</v>
      </c>
      <c r="H117" s="5" t="s">
        <v>28</v>
      </c>
      <c r="I117" s="5">
        <v>116.837991</v>
      </c>
      <c r="J117" s="5">
        <v>39.957292</v>
      </c>
      <c r="K117" s="5" t="s">
        <v>29</v>
      </c>
      <c r="L117" s="5" t="s">
        <v>30</v>
      </c>
      <c r="M117" s="5" t="s">
        <v>24</v>
      </c>
      <c r="N117" s="5" t="s">
        <v>25</v>
      </c>
    </row>
    <row r="118" spans="1:14">
      <c r="A118" s="2" t="s">
        <v>322</v>
      </c>
      <c r="B118" s="2" t="s">
        <v>80</v>
      </c>
      <c r="C118" s="5" t="s">
        <v>321</v>
      </c>
      <c r="D118" s="2" t="s">
        <v>17</v>
      </c>
      <c r="E118" s="2" t="s">
        <v>18</v>
      </c>
      <c r="F118" s="2" t="s">
        <v>19</v>
      </c>
      <c r="G118" s="2" t="s">
        <v>319</v>
      </c>
      <c r="H118" s="5" t="s">
        <v>28</v>
      </c>
      <c r="I118" s="5">
        <v>116.837991</v>
      </c>
      <c r="J118" s="5">
        <v>39.957292</v>
      </c>
      <c r="K118" s="5" t="s">
        <v>29</v>
      </c>
      <c r="L118" s="5" t="s">
        <v>30</v>
      </c>
      <c r="M118" s="5" t="s">
        <v>24</v>
      </c>
      <c r="N118" s="5" t="s">
        <v>25</v>
      </c>
    </row>
    <row r="119" spans="1:14">
      <c r="A119" s="2" t="s">
        <v>315</v>
      </c>
      <c r="B119" s="2" t="s">
        <v>80</v>
      </c>
      <c r="C119" s="2" t="s">
        <v>316</v>
      </c>
      <c r="D119" s="2" t="s">
        <v>109</v>
      </c>
      <c r="E119" s="2" t="s">
        <v>110</v>
      </c>
      <c r="F119" s="2" t="s">
        <v>111</v>
      </c>
      <c r="G119" s="2" t="s">
        <v>319</v>
      </c>
      <c r="H119" s="5" t="s">
        <v>28</v>
      </c>
      <c r="I119" s="5">
        <v>104.208946</v>
      </c>
      <c r="J119" s="5">
        <v>30.581662</v>
      </c>
      <c r="K119" s="5" t="s">
        <v>29</v>
      </c>
      <c r="L119" s="5" t="s">
        <v>30</v>
      </c>
      <c r="M119" s="5" t="s">
        <v>24</v>
      </c>
      <c r="N119" s="5" t="s">
        <v>25</v>
      </c>
    </row>
    <row r="120" spans="1:14">
      <c r="A120" s="9" t="s">
        <v>323</v>
      </c>
      <c r="B120" s="2" t="s">
        <v>80</v>
      </c>
      <c r="C120" s="5"/>
      <c r="D120" s="9" t="s">
        <v>85</v>
      </c>
      <c r="E120" s="2" t="s">
        <v>86</v>
      </c>
      <c r="F120" s="2" t="s">
        <v>87</v>
      </c>
      <c r="G120" s="2" t="s">
        <v>319</v>
      </c>
      <c r="H120" s="5" t="s">
        <v>28</v>
      </c>
      <c r="I120" s="5">
        <v>103.82</v>
      </c>
      <c r="J120" s="5">
        <v>30.49</v>
      </c>
      <c r="K120" s="5" t="s">
        <v>29</v>
      </c>
      <c r="L120" s="5" t="s">
        <v>30</v>
      </c>
      <c r="M120" s="5" t="s">
        <v>24</v>
      </c>
      <c r="N120" s="5" t="s">
        <v>25</v>
      </c>
    </row>
    <row r="121" spans="1:14">
      <c r="A121" s="9" t="s">
        <v>324</v>
      </c>
      <c r="B121" s="2" t="s">
        <v>80</v>
      </c>
      <c r="C121" s="9" t="s">
        <v>325</v>
      </c>
      <c r="D121" s="9" t="s">
        <v>62</v>
      </c>
      <c r="E121" s="9" t="s">
        <v>18</v>
      </c>
      <c r="F121" s="2" t="s">
        <v>63</v>
      </c>
      <c r="G121" s="2" t="s">
        <v>319</v>
      </c>
      <c r="H121" s="5" t="s">
        <v>28</v>
      </c>
      <c r="I121" s="5">
        <v>103.954308</v>
      </c>
      <c r="J121" s="5">
        <v>30.790306</v>
      </c>
      <c r="K121" s="5" t="s">
        <v>29</v>
      </c>
      <c r="L121" s="5" t="s">
        <v>30</v>
      </c>
      <c r="M121" s="5" t="s">
        <v>24</v>
      </c>
      <c r="N121" s="5" t="s">
        <v>25</v>
      </c>
    </row>
    <row r="122" spans="1:14">
      <c r="A122" s="9" t="s">
        <v>326</v>
      </c>
      <c r="B122" s="2" t="s">
        <v>80</v>
      </c>
      <c r="C122" s="5"/>
      <c r="D122" s="9" t="s">
        <v>85</v>
      </c>
      <c r="E122" s="2" t="s">
        <v>86</v>
      </c>
      <c r="F122" s="2" t="s">
        <v>87</v>
      </c>
      <c r="G122" s="2" t="s">
        <v>319</v>
      </c>
      <c r="H122" s="5" t="s">
        <v>28</v>
      </c>
      <c r="I122" s="5">
        <v>104.053439</v>
      </c>
      <c r="J122" s="5">
        <v>30.560547</v>
      </c>
      <c r="K122" s="5" t="s">
        <v>29</v>
      </c>
      <c r="L122" s="5" t="s">
        <v>30</v>
      </c>
      <c r="M122" s="5" t="s">
        <v>24</v>
      </c>
      <c r="N122" s="5" t="s">
        <v>25</v>
      </c>
    </row>
    <row r="123" spans="1:14">
      <c r="A123" s="5" t="s">
        <v>327</v>
      </c>
      <c r="B123" s="5" t="s">
        <v>80</v>
      </c>
      <c r="C123" s="5"/>
      <c r="D123" s="10" t="s">
        <v>144</v>
      </c>
      <c r="E123" s="5" t="s">
        <v>110</v>
      </c>
      <c r="F123" s="2" t="s">
        <v>111</v>
      </c>
      <c r="G123" s="2" t="s">
        <v>319</v>
      </c>
      <c r="H123" s="5" t="s">
        <v>28</v>
      </c>
      <c r="I123" s="5">
        <v>104.172366</v>
      </c>
      <c r="J123" s="5">
        <v>30.678108</v>
      </c>
      <c r="K123" s="2" t="s">
        <v>29</v>
      </c>
      <c r="L123" s="2" t="s">
        <v>30</v>
      </c>
      <c r="M123" s="2" t="s">
        <v>24</v>
      </c>
      <c r="N123" s="2" t="s">
        <v>25</v>
      </c>
    </row>
    <row r="124" spans="1:14">
      <c r="A124" s="2" t="s">
        <v>328</v>
      </c>
      <c r="B124" s="5" t="s">
        <v>80</v>
      </c>
      <c r="C124" s="5" t="s">
        <v>321</v>
      </c>
      <c r="D124" s="2" t="s">
        <v>17</v>
      </c>
      <c r="E124" s="2" t="s">
        <v>18</v>
      </c>
      <c r="F124" s="2" t="s">
        <v>19</v>
      </c>
      <c r="G124" s="2" t="s">
        <v>319</v>
      </c>
      <c r="H124" s="5" t="s">
        <v>28</v>
      </c>
      <c r="I124" s="5">
        <v>102.283447</v>
      </c>
      <c r="J124" s="5">
        <v>27.872229</v>
      </c>
      <c r="K124" s="2" t="s">
        <v>29</v>
      </c>
      <c r="L124" s="2" t="s">
        <v>30</v>
      </c>
      <c r="M124" s="2" t="s">
        <v>24</v>
      </c>
      <c r="N124" s="2" t="s">
        <v>25</v>
      </c>
    </row>
  </sheetData>
  <autoFilter xmlns:etc="http://www.wps.cn/officeDocument/2017/etCustomData" ref="A1:N124" etc:filterBottomFollowUsedRange="0">
    <extLst/>
  </autoFilter>
  <conditionalFormatting sqref="A124">
    <cfRule type="duplicateValues" dxfId="0" priority="1"/>
  </conditionalFormatting>
  <conditionalFormatting sqref="A1:A24 A26:A77 A79 A81:A118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24"/>
  <sheetViews>
    <sheetView zoomScale="70" zoomScaleNormal="70" topLeftCell="B1" workbookViewId="0">
      <selection activeCell="J1" sqref="J1:K124"/>
    </sheetView>
  </sheetViews>
  <sheetFormatPr defaultColWidth="8.72727272727273" defaultRowHeight="14"/>
  <cols>
    <col min="1" max="1" width="52.2727272727273" customWidth="1"/>
    <col min="2" max="2" width="30.8181818181818" customWidth="1"/>
    <col min="3" max="3" width="20.8181818181818" customWidth="1"/>
    <col min="4" max="4" width="6.81818181818182" customWidth="1"/>
    <col min="5" max="6" width="9.36363636363636" customWidth="1"/>
    <col min="7" max="7" width="15.0909090909091" customWidth="1"/>
    <col min="8" max="8" width="20.8181818181818" customWidth="1"/>
    <col min="9" max="9" width="49.4818181818182" customWidth="1"/>
    <col min="10" max="12" width="20.8181818181818" customWidth="1"/>
    <col min="13" max="13" width="25.9636363636364" customWidth="1"/>
  </cols>
  <sheetData>
    <row r="1" ht="17.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329</v>
      </c>
      <c r="I1" s="2" t="s">
        <v>10</v>
      </c>
      <c r="J1" s="2" t="s">
        <v>8</v>
      </c>
      <c r="K1" s="2" t="s">
        <v>9</v>
      </c>
      <c r="L1" s="2" t="s">
        <v>330</v>
      </c>
      <c r="M1" s="2" t="s">
        <v>331</v>
      </c>
    </row>
    <row r="2" ht="17.5" spans="1:1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tr">
        <f>IF(L2=0,"低风险",IF(L2=2,"中风险",IF(L2&gt;=3,"高风险","低风险")))</f>
        <v>高风险</v>
      </c>
      <c r="I2" s="2" t="str">
        <f>$L$1&amp;L2&amp;"次、"&amp;"消防问题："&amp;M2</f>
        <v>两年内火情次数5次、消防问题：无</v>
      </c>
      <c r="J2" s="5">
        <v>104.152848</v>
      </c>
      <c r="K2" s="5">
        <v>30.625018</v>
      </c>
      <c r="L2" s="2">
        <v>5</v>
      </c>
      <c r="M2" s="2" t="s">
        <v>332</v>
      </c>
    </row>
    <row r="3" ht="17.5" spans="1:13">
      <c r="A3" s="2" t="s">
        <v>26</v>
      </c>
      <c r="B3" s="2" t="s">
        <v>15</v>
      </c>
      <c r="C3" s="2" t="s">
        <v>27</v>
      </c>
      <c r="D3" s="2" t="s">
        <v>17</v>
      </c>
      <c r="E3" s="2" t="s">
        <v>18</v>
      </c>
      <c r="F3" s="2" t="s">
        <v>19</v>
      </c>
      <c r="G3" s="2" t="s">
        <v>20</v>
      </c>
      <c r="H3" s="2" t="str">
        <f t="shared" ref="H3:H34" si="0">IF(L3=0,"低风险",IF(L3=2,"中风险",IF(L3&gt;=3,"高风险","低风险")))</f>
        <v>中风险</v>
      </c>
      <c r="I3" s="2" t="str">
        <f t="shared" ref="I3:I34" si="1">$L$1&amp;L3&amp;"次、"&amp;"消防问题："&amp;M3</f>
        <v>两年内火情次数2次、消防问题：无</v>
      </c>
      <c r="J3" s="5">
        <v>104.168124</v>
      </c>
      <c r="K3" s="5">
        <v>30.644582</v>
      </c>
      <c r="L3" s="2">
        <v>2</v>
      </c>
      <c r="M3" s="2" t="s">
        <v>332</v>
      </c>
    </row>
    <row r="4" ht="17.5" spans="1:13">
      <c r="A4" s="2" t="s">
        <v>31</v>
      </c>
      <c r="B4" s="2" t="s">
        <v>15</v>
      </c>
      <c r="C4" s="2" t="s">
        <v>32</v>
      </c>
      <c r="D4" s="2" t="s">
        <v>17</v>
      </c>
      <c r="E4" s="2" t="s">
        <v>18</v>
      </c>
      <c r="F4" s="2" t="s">
        <v>19</v>
      </c>
      <c r="G4" s="2" t="s">
        <v>20</v>
      </c>
      <c r="H4" s="2" t="str">
        <f t="shared" si="0"/>
        <v>高风险</v>
      </c>
      <c r="I4" s="2" t="str">
        <f t="shared" si="1"/>
        <v>两年内火情次数3次、消防问题：无</v>
      </c>
      <c r="J4" s="5">
        <v>104.15273</v>
      </c>
      <c r="K4" s="5">
        <v>30.630772</v>
      </c>
      <c r="L4" s="2">
        <v>3</v>
      </c>
      <c r="M4" s="2" t="s">
        <v>332</v>
      </c>
    </row>
    <row r="5" ht="17.5" spans="1:13">
      <c r="A5" s="2" t="s">
        <v>35</v>
      </c>
      <c r="B5" s="2" t="s">
        <v>36</v>
      </c>
      <c r="C5" s="2" t="s">
        <v>37</v>
      </c>
      <c r="D5" s="2" t="s">
        <v>17</v>
      </c>
      <c r="E5" s="2" t="s">
        <v>18</v>
      </c>
      <c r="F5" s="2" t="s">
        <v>19</v>
      </c>
      <c r="G5" s="2" t="s">
        <v>38</v>
      </c>
      <c r="H5" s="2" t="str">
        <f t="shared" si="0"/>
        <v>高风险</v>
      </c>
      <c r="I5" s="2" t="str">
        <f t="shared" si="1"/>
        <v>两年内火情次数9次、消防问题：无</v>
      </c>
      <c r="J5" s="5">
        <v>104.116187</v>
      </c>
      <c r="K5" s="5">
        <v>30.61335</v>
      </c>
      <c r="L5" s="2">
        <v>9</v>
      </c>
      <c r="M5" s="2" t="s">
        <v>332</v>
      </c>
    </row>
    <row r="6" ht="17.5" spans="1:13">
      <c r="A6" s="2" t="s">
        <v>41</v>
      </c>
      <c r="B6" s="2" t="s">
        <v>36</v>
      </c>
      <c r="C6" s="2" t="s">
        <v>42</v>
      </c>
      <c r="D6" s="2" t="s">
        <v>17</v>
      </c>
      <c r="E6" s="2" t="s">
        <v>18</v>
      </c>
      <c r="F6" s="2" t="s">
        <v>19</v>
      </c>
      <c r="G6" s="2" t="s">
        <v>38</v>
      </c>
      <c r="H6" s="2" t="str">
        <f t="shared" si="0"/>
        <v>低风险</v>
      </c>
      <c r="I6" s="2" t="str">
        <f t="shared" si="1"/>
        <v>两年内火情次数0次、消防问题：无</v>
      </c>
      <c r="J6" s="5">
        <v>104.118947</v>
      </c>
      <c r="K6" s="5">
        <v>30.62192</v>
      </c>
      <c r="L6" s="2">
        <v>0</v>
      </c>
      <c r="M6" s="2" t="s">
        <v>332</v>
      </c>
    </row>
    <row r="7" ht="17.5" spans="1:13">
      <c r="A7" s="2" t="s">
        <v>44</v>
      </c>
      <c r="B7" s="2" t="s">
        <v>36</v>
      </c>
      <c r="C7" s="2" t="s">
        <v>45</v>
      </c>
      <c r="D7" s="2" t="s">
        <v>17</v>
      </c>
      <c r="E7" s="2" t="s">
        <v>18</v>
      </c>
      <c r="F7" s="2" t="s">
        <v>19</v>
      </c>
      <c r="G7" s="2" t="s">
        <v>38</v>
      </c>
      <c r="H7" s="2" t="str">
        <f t="shared" si="0"/>
        <v>低风险</v>
      </c>
      <c r="I7" s="2" t="str">
        <f t="shared" si="1"/>
        <v>两年内火情次数1次、消防问题：无</v>
      </c>
      <c r="J7" s="5">
        <v>104.125215</v>
      </c>
      <c r="K7" s="5">
        <v>30.595431</v>
      </c>
      <c r="L7" s="2">
        <v>1</v>
      </c>
      <c r="M7" s="2" t="s">
        <v>332</v>
      </c>
    </row>
    <row r="8" ht="17.5" spans="1:13">
      <c r="A8" s="2" t="s">
        <v>46</v>
      </c>
      <c r="B8" s="2" t="s">
        <v>36</v>
      </c>
      <c r="C8" s="2" t="s">
        <v>47</v>
      </c>
      <c r="D8" s="2" t="s">
        <v>17</v>
      </c>
      <c r="E8" s="2" t="s">
        <v>18</v>
      </c>
      <c r="F8" s="2" t="s">
        <v>19</v>
      </c>
      <c r="G8" s="2" t="s">
        <v>48</v>
      </c>
      <c r="H8" s="2" t="str">
        <f t="shared" si="0"/>
        <v>低风险</v>
      </c>
      <c r="I8" s="2" t="str">
        <f t="shared" si="1"/>
        <v>两年内火情次数1次、消防问题：无</v>
      </c>
      <c r="J8" s="5">
        <v>104.137369</v>
      </c>
      <c r="K8" s="5">
        <v>30.597466</v>
      </c>
      <c r="L8" s="2">
        <v>1</v>
      </c>
      <c r="M8" s="2" t="s">
        <v>332</v>
      </c>
    </row>
    <row r="9" ht="17.5" spans="1:13">
      <c r="A9" s="2" t="s">
        <v>49</v>
      </c>
      <c r="B9" s="2" t="s">
        <v>36</v>
      </c>
      <c r="C9" s="2" t="s">
        <v>50</v>
      </c>
      <c r="D9" s="2" t="s">
        <v>17</v>
      </c>
      <c r="E9" s="2" t="s">
        <v>18</v>
      </c>
      <c r="F9" s="2" t="s">
        <v>19</v>
      </c>
      <c r="G9" s="2" t="s">
        <v>48</v>
      </c>
      <c r="H9" s="2" t="str">
        <f t="shared" si="0"/>
        <v>低风险</v>
      </c>
      <c r="I9" s="2" t="str">
        <f t="shared" si="1"/>
        <v>两年内火情次数0次、消防问题：无</v>
      </c>
      <c r="J9" s="5">
        <v>104.129428</v>
      </c>
      <c r="K9" s="5">
        <v>30.600074</v>
      </c>
      <c r="L9" s="2">
        <v>0</v>
      </c>
      <c r="M9" s="2" t="s">
        <v>332</v>
      </c>
    </row>
    <row r="10" ht="17.5" spans="1:13">
      <c r="A10" s="2" t="s">
        <v>51</v>
      </c>
      <c r="B10" s="2" t="s">
        <v>36</v>
      </c>
      <c r="C10" s="2" t="s">
        <v>47</v>
      </c>
      <c r="D10" s="2" t="s">
        <v>17</v>
      </c>
      <c r="E10" s="2" t="s">
        <v>18</v>
      </c>
      <c r="F10" s="2" t="s">
        <v>19</v>
      </c>
      <c r="G10" s="2" t="s">
        <v>48</v>
      </c>
      <c r="H10" s="2" t="str">
        <f t="shared" si="0"/>
        <v>低风险</v>
      </c>
      <c r="I10" s="2" t="str">
        <f t="shared" si="1"/>
        <v>两年内火情次数0次、消防问题：无</v>
      </c>
      <c r="J10" s="5">
        <v>104.131172</v>
      </c>
      <c r="K10" s="5">
        <v>30.598592</v>
      </c>
      <c r="L10" s="2">
        <v>0</v>
      </c>
      <c r="M10" s="2" t="s">
        <v>332</v>
      </c>
    </row>
    <row r="11" ht="17.5" spans="1:13">
      <c r="A11" s="2" t="s">
        <v>52</v>
      </c>
      <c r="B11" s="2" t="s">
        <v>36</v>
      </c>
      <c r="C11" s="2" t="s">
        <v>53</v>
      </c>
      <c r="D11" s="2" t="s">
        <v>17</v>
      </c>
      <c r="E11" s="2" t="s">
        <v>18</v>
      </c>
      <c r="F11" s="2" t="s">
        <v>19</v>
      </c>
      <c r="G11" s="2" t="s">
        <v>38</v>
      </c>
      <c r="H11" s="2" t="str">
        <f t="shared" si="0"/>
        <v>中风险</v>
      </c>
      <c r="I11" s="2" t="str">
        <f t="shared" si="1"/>
        <v>两年内火情次数2次、消防问题：无</v>
      </c>
      <c r="J11" s="5">
        <v>104.12322</v>
      </c>
      <c r="K11" s="5">
        <v>30.604766</v>
      </c>
      <c r="L11" s="2">
        <v>2</v>
      </c>
      <c r="M11" s="2" t="s">
        <v>332</v>
      </c>
    </row>
    <row r="12" ht="17.5" spans="1:13">
      <c r="A12" s="2" t="s">
        <v>57</v>
      </c>
      <c r="B12" s="2" t="s">
        <v>36</v>
      </c>
      <c r="C12" s="2" t="s">
        <v>58</v>
      </c>
      <c r="D12" s="2" t="s">
        <v>17</v>
      </c>
      <c r="E12" s="2" t="s">
        <v>18</v>
      </c>
      <c r="F12" s="2" t="s">
        <v>19</v>
      </c>
      <c r="G12" s="2" t="s">
        <v>38</v>
      </c>
      <c r="H12" s="2" t="str">
        <f t="shared" si="0"/>
        <v>低风险</v>
      </c>
      <c r="I12" s="2" t="str">
        <f t="shared" si="1"/>
        <v>两年内火情次数1次、消防问题：无</v>
      </c>
      <c r="J12" s="5">
        <v>104.0831</v>
      </c>
      <c r="K12" s="5">
        <v>30.612397</v>
      </c>
      <c r="L12" s="2">
        <v>1</v>
      </c>
      <c r="M12" s="2" t="s">
        <v>332</v>
      </c>
    </row>
    <row r="13" ht="17.5" spans="1: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18</v>
      </c>
      <c r="F13" s="2" t="s">
        <v>63</v>
      </c>
      <c r="G13" s="2" t="s">
        <v>64</v>
      </c>
      <c r="H13" s="2" t="str">
        <f t="shared" si="0"/>
        <v>高风险</v>
      </c>
      <c r="I13" s="2" t="str">
        <f t="shared" si="1"/>
        <v>两年内火情次数3次、消防问题：无</v>
      </c>
      <c r="J13" s="5">
        <v>103.963709</v>
      </c>
      <c r="K13" s="5">
        <v>30.668173</v>
      </c>
      <c r="L13" s="2">
        <v>3</v>
      </c>
      <c r="M13" s="2" t="s">
        <v>332</v>
      </c>
    </row>
    <row r="14" ht="17.5" spans="1:13">
      <c r="A14" s="2" t="s">
        <v>67</v>
      </c>
      <c r="B14" s="2" t="s">
        <v>60</v>
      </c>
      <c r="C14" s="2" t="s">
        <v>68</v>
      </c>
      <c r="D14" s="2" t="s">
        <v>62</v>
      </c>
      <c r="E14" s="2" t="s">
        <v>18</v>
      </c>
      <c r="F14" s="2" t="s">
        <v>63</v>
      </c>
      <c r="G14" s="2" t="s">
        <v>64</v>
      </c>
      <c r="H14" s="2" t="str">
        <f t="shared" si="0"/>
        <v>低风险</v>
      </c>
      <c r="I14" s="2" t="str">
        <f t="shared" si="1"/>
        <v>两年内火情次数1次、消防问题：无</v>
      </c>
      <c r="J14" s="5">
        <v>104</v>
      </c>
      <c r="K14" s="5">
        <v>30.68</v>
      </c>
      <c r="L14" s="2">
        <v>1</v>
      </c>
      <c r="M14" s="2" t="s">
        <v>332</v>
      </c>
    </row>
    <row r="15" ht="17.5" spans="1:13">
      <c r="A15" s="2" t="s">
        <v>69</v>
      </c>
      <c r="B15" s="2" t="s">
        <v>60</v>
      </c>
      <c r="C15" s="2" t="s">
        <v>70</v>
      </c>
      <c r="D15" s="2" t="s">
        <v>62</v>
      </c>
      <c r="E15" s="2" t="s">
        <v>18</v>
      </c>
      <c r="F15" s="2" t="s">
        <v>63</v>
      </c>
      <c r="G15" s="2" t="s">
        <v>64</v>
      </c>
      <c r="H15" s="2" t="str">
        <f t="shared" si="0"/>
        <v>低风险</v>
      </c>
      <c r="I15" s="2" t="str">
        <f t="shared" si="1"/>
        <v>两年内火情次数1次、消防问题：无</v>
      </c>
      <c r="J15" s="5">
        <v>103.999062</v>
      </c>
      <c r="K15" s="5">
        <v>30.67723</v>
      </c>
      <c r="L15" s="2">
        <v>1</v>
      </c>
      <c r="M15" s="2" t="s">
        <v>332</v>
      </c>
    </row>
    <row r="16" ht="17.5" spans="1:13">
      <c r="A16" s="2" t="s">
        <v>71</v>
      </c>
      <c r="B16" s="2" t="s">
        <v>60</v>
      </c>
      <c r="C16" s="2" t="s">
        <v>72</v>
      </c>
      <c r="D16" s="2" t="s">
        <v>62</v>
      </c>
      <c r="E16" s="2" t="s">
        <v>18</v>
      </c>
      <c r="F16" s="2" t="s">
        <v>63</v>
      </c>
      <c r="G16" s="2" t="s">
        <v>64</v>
      </c>
      <c r="H16" s="2" t="str">
        <f t="shared" si="0"/>
        <v>低风险</v>
      </c>
      <c r="I16" s="2" t="str">
        <f t="shared" si="1"/>
        <v>两年内火情次数0次、消防问题：无</v>
      </c>
      <c r="J16" s="5">
        <v>103.978693</v>
      </c>
      <c r="K16" s="5">
        <v>30.670724</v>
      </c>
      <c r="L16" s="2">
        <v>0</v>
      </c>
      <c r="M16" s="2" t="s">
        <v>332</v>
      </c>
    </row>
    <row r="17" ht="17.5" spans="1:13">
      <c r="A17" s="2" t="s">
        <v>73</v>
      </c>
      <c r="B17" s="2" t="s">
        <v>74</v>
      </c>
      <c r="C17" s="2" t="s">
        <v>75</v>
      </c>
      <c r="D17" s="2" t="s">
        <v>62</v>
      </c>
      <c r="E17" s="2" t="s">
        <v>18</v>
      </c>
      <c r="F17" s="2" t="s">
        <v>63</v>
      </c>
      <c r="G17" s="2" t="s">
        <v>76</v>
      </c>
      <c r="H17" s="2" t="str">
        <f t="shared" si="0"/>
        <v>高风险</v>
      </c>
      <c r="I17" s="2" t="str">
        <f t="shared" si="1"/>
        <v>两年内火情次数5次、消防问题：无</v>
      </c>
      <c r="J17" s="5">
        <v>103.973103</v>
      </c>
      <c r="K17" s="5">
        <v>30.754699</v>
      </c>
      <c r="L17" s="2">
        <v>5</v>
      </c>
      <c r="M17" s="2" t="s">
        <v>332</v>
      </c>
    </row>
    <row r="18" ht="17.5" spans="1:13">
      <c r="A18" s="2" t="s">
        <v>77</v>
      </c>
      <c r="B18" s="2" t="s">
        <v>74</v>
      </c>
      <c r="C18" s="2" t="s">
        <v>78</v>
      </c>
      <c r="D18" s="2" t="s">
        <v>62</v>
      </c>
      <c r="E18" s="2" t="s">
        <v>18</v>
      </c>
      <c r="F18" s="2" t="s">
        <v>63</v>
      </c>
      <c r="G18" s="2" t="s">
        <v>76</v>
      </c>
      <c r="H18" s="2" t="str">
        <f t="shared" si="0"/>
        <v>高风险</v>
      </c>
      <c r="I18" s="2" t="str">
        <f t="shared" si="1"/>
        <v>两年内火情次数6次、消防问题：无</v>
      </c>
      <c r="J18" s="5">
        <v>103.969346</v>
      </c>
      <c r="K18" s="5">
        <v>30.767264</v>
      </c>
      <c r="L18" s="2">
        <v>6</v>
      </c>
      <c r="M18" s="2" t="s">
        <v>332</v>
      </c>
    </row>
    <row r="19" ht="17.5" spans="1:13">
      <c r="A19" s="2" t="s">
        <v>79</v>
      </c>
      <c r="B19" s="2" t="s">
        <v>80</v>
      </c>
      <c r="C19" s="2" t="s">
        <v>81</v>
      </c>
      <c r="D19" s="2" t="s">
        <v>62</v>
      </c>
      <c r="E19" s="2" t="s">
        <v>18</v>
      </c>
      <c r="F19" s="2" t="s">
        <v>63</v>
      </c>
      <c r="G19" s="2" t="s">
        <v>76</v>
      </c>
      <c r="H19" s="2" t="str">
        <f t="shared" si="0"/>
        <v>低风险</v>
      </c>
      <c r="I19" s="2" t="str">
        <f t="shared" si="1"/>
        <v>两年内火情次数0次、消防问题：无</v>
      </c>
      <c r="J19" s="5">
        <v>103.981534</v>
      </c>
      <c r="K19" s="5">
        <v>30.748172</v>
      </c>
      <c r="L19" s="2">
        <v>0</v>
      </c>
      <c r="M19" s="2" t="s">
        <v>332</v>
      </c>
    </row>
    <row r="20" ht="17.5" spans="1:13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88</v>
      </c>
      <c r="H20" s="2" t="str">
        <f t="shared" si="0"/>
        <v>低风险</v>
      </c>
      <c r="I20" s="2" t="str">
        <f t="shared" si="1"/>
        <v>两年内火情次数1次、消防问题：无</v>
      </c>
      <c r="J20" s="5">
        <v>104.036866</v>
      </c>
      <c r="K20" s="5">
        <v>30.551042</v>
      </c>
      <c r="L20" s="2">
        <v>1</v>
      </c>
      <c r="M20" s="2" t="s">
        <v>332</v>
      </c>
    </row>
    <row r="21" ht="17.5" spans="1:13">
      <c r="A21" s="2" t="s">
        <v>89</v>
      </c>
      <c r="B21" s="2" t="s">
        <v>83</v>
      </c>
      <c r="C21" s="2" t="s">
        <v>90</v>
      </c>
      <c r="D21" s="2" t="s">
        <v>85</v>
      </c>
      <c r="E21" s="2" t="s">
        <v>86</v>
      </c>
      <c r="F21" s="2" t="s">
        <v>87</v>
      </c>
      <c r="G21" s="2" t="s">
        <v>88</v>
      </c>
      <c r="H21" s="2" t="str">
        <f t="shared" si="0"/>
        <v>低风险</v>
      </c>
      <c r="I21" s="2" t="str">
        <f t="shared" si="1"/>
        <v>两年内火情次数1次、消防问题：无</v>
      </c>
      <c r="J21" s="5">
        <v>104.046031</v>
      </c>
      <c r="K21" s="5">
        <v>30.548293</v>
      </c>
      <c r="L21" s="2">
        <v>1</v>
      </c>
      <c r="M21" s="2" t="s">
        <v>332</v>
      </c>
    </row>
    <row r="22" ht="17.5" spans="1:13">
      <c r="A22" s="2" t="s">
        <v>91</v>
      </c>
      <c r="B22" s="2" t="s">
        <v>83</v>
      </c>
      <c r="C22" s="2" t="s">
        <v>92</v>
      </c>
      <c r="D22" s="2" t="s">
        <v>85</v>
      </c>
      <c r="E22" s="2" t="s">
        <v>86</v>
      </c>
      <c r="F22" s="2" t="s">
        <v>87</v>
      </c>
      <c r="G22" s="2" t="s">
        <v>88</v>
      </c>
      <c r="H22" s="2" t="str">
        <f t="shared" si="0"/>
        <v>低风险</v>
      </c>
      <c r="I22" s="2" t="str">
        <f t="shared" si="1"/>
        <v>两年内火情次数0次、消防问题：无</v>
      </c>
      <c r="J22" s="5">
        <v>104.043134</v>
      </c>
      <c r="K22" s="5">
        <v>30.54252</v>
      </c>
      <c r="L22" s="2">
        <v>0</v>
      </c>
      <c r="M22" s="2" t="s">
        <v>332</v>
      </c>
    </row>
    <row r="23" ht="17.5" spans="1:13">
      <c r="A23" s="2" t="s">
        <v>93</v>
      </c>
      <c r="B23" s="2" t="s">
        <v>83</v>
      </c>
      <c r="C23" s="2" t="s">
        <v>94</v>
      </c>
      <c r="D23" s="2" t="s">
        <v>85</v>
      </c>
      <c r="E23" s="2" t="s">
        <v>86</v>
      </c>
      <c r="F23" s="2" t="s">
        <v>87</v>
      </c>
      <c r="G23" s="2" t="s">
        <v>88</v>
      </c>
      <c r="H23" s="2" t="str">
        <f t="shared" si="0"/>
        <v>低风险</v>
      </c>
      <c r="I23" s="2" t="str">
        <f t="shared" si="1"/>
        <v>两年内火情次数0次、消防问题：无</v>
      </c>
      <c r="J23" s="5">
        <v>104.072553</v>
      </c>
      <c r="K23" s="5">
        <v>30.551131</v>
      </c>
      <c r="L23" s="2">
        <v>0</v>
      </c>
      <c r="M23" s="2" t="s">
        <v>332</v>
      </c>
    </row>
    <row r="24" ht="17.5" spans="1:13">
      <c r="A24" s="2" t="s">
        <v>95</v>
      </c>
      <c r="B24" s="2" t="s">
        <v>83</v>
      </c>
      <c r="C24" s="2" t="s">
        <v>94</v>
      </c>
      <c r="D24" s="2" t="s">
        <v>85</v>
      </c>
      <c r="E24" s="2" t="s">
        <v>86</v>
      </c>
      <c r="F24" s="2" t="s">
        <v>87</v>
      </c>
      <c r="G24" s="2" t="s">
        <v>88</v>
      </c>
      <c r="H24" s="2" t="str">
        <f t="shared" si="0"/>
        <v>低风险</v>
      </c>
      <c r="I24" s="2" t="str">
        <f t="shared" si="1"/>
        <v>两年内火情次数0次、消防问题：无</v>
      </c>
      <c r="J24" s="5">
        <v>104.072254</v>
      </c>
      <c r="K24" s="5">
        <v>30.547719</v>
      </c>
      <c r="L24" s="2">
        <v>0</v>
      </c>
      <c r="M24" s="2" t="s">
        <v>332</v>
      </c>
    </row>
    <row r="25" ht="17.5" spans="1:13">
      <c r="A25" s="2" t="s">
        <v>96</v>
      </c>
      <c r="B25" s="2" t="s">
        <v>83</v>
      </c>
      <c r="C25" s="2" t="s">
        <v>97</v>
      </c>
      <c r="D25" s="2" t="s">
        <v>85</v>
      </c>
      <c r="E25" s="2" t="s">
        <v>86</v>
      </c>
      <c r="F25" s="2" t="s">
        <v>87</v>
      </c>
      <c r="G25" s="2" t="s">
        <v>88</v>
      </c>
      <c r="H25" s="2" t="str">
        <f t="shared" si="0"/>
        <v>低风险</v>
      </c>
      <c r="I25" s="2" t="str">
        <f t="shared" si="1"/>
        <v>两年内火情次数0次、消防问题：无</v>
      </c>
      <c r="J25" s="5">
        <v>104.072566</v>
      </c>
      <c r="K25" s="5">
        <v>30.54616</v>
      </c>
      <c r="L25" s="2">
        <v>0</v>
      </c>
      <c r="M25" s="2" t="s">
        <v>332</v>
      </c>
    </row>
    <row r="26" ht="17.5" spans="1:13">
      <c r="A26" s="2" t="s">
        <v>99</v>
      </c>
      <c r="B26" s="2" t="s">
        <v>83</v>
      </c>
      <c r="C26" s="2" t="s">
        <v>100</v>
      </c>
      <c r="D26" s="2" t="s">
        <v>85</v>
      </c>
      <c r="E26" s="2" t="s">
        <v>86</v>
      </c>
      <c r="F26" s="2" t="s">
        <v>87</v>
      </c>
      <c r="G26" s="2" t="s">
        <v>88</v>
      </c>
      <c r="H26" s="2" t="str">
        <f t="shared" si="0"/>
        <v>低风险</v>
      </c>
      <c r="I26" s="2" t="str">
        <f t="shared" si="1"/>
        <v>两年内火情次数0次、消防问题：无</v>
      </c>
      <c r="J26" s="5">
        <v>104.05533</v>
      </c>
      <c r="K26" s="5">
        <v>30.555606</v>
      </c>
      <c r="L26" s="2">
        <v>0</v>
      </c>
      <c r="M26" s="2" t="s">
        <v>332</v>
      </c>
    </row>
    <row r="27" ht="17.5" spans="1:13">
      <c r="A27" s="2" t="s">
        <v>101</v>
      </c>
      <c r="B27" s="2" t="s">
        <v>83</v>
      </c>
      <c r="C27" s="2" t="s">
        <v>102</v>
      </c>
      <c r="D27" s="2" t="s">
        <v>85</v>
      </c>
      <c r="E27" s="2" t="s">
        <v>86</v>
      </c>
      <c r="F27" s="2" t="s">
        <v>87</v>
      </c>
      <c r="G27" s="2" t="s">
        <v>88</v>
      </c>
      <c r="H27" s="2" t="str">
        <f t="shared" si="0"/>
        <v>低风险</v>
      </c>
      <c r="I27" s="2" t="str">
        <f t="shared" si="1"/>
        <v>两年内火情次数0次、消防问题：无</v>
      </c>
      <c r="J27" s="5">
        <v>104.072835</v>
      </c>
      <c r="K27" s="5">
        <v>30.530118</v>
      </c>
      <c r="L27" s="2">
        <v>0</v>
      </c>
      <c r="M27" s="2" t="s">
        <v>332</v>
      </c>
    </row>
    <row r="28" ht="17.5" spans="1:13">
      <c r="A28" s="2" t="s">
        <v>103</v>
      </c>
      <c r="B28" s="2" t="s">
        <v>83</v>
      </c>
      <c r="C28" s="2" t="s">
        <v>104</v>
      </c>
      <c r="D28" s="2" t="s">
        <v>85</v>
      </c>
      <c r="E28" s="2" t="s">
        <v>86</v>
      </c>
      <c r="F28" s="2" t="s">
        <v>87</v>
      </c>
      <c r="G28" s="2" t="s">
        <v>88</v>
      </c>
      <c r="H28" s="2" t="s">
        <v>21</v>
      </c>
      <c r="I28" s="2" t="str">
        <f t="shared" si="1"/>
        <v>两年内火情次数0次、消防问题：水消防、电消防、排烟、气灭故障</v>
      </c>
      <c r="J28" s="5">
        <v>104.073963</v>
      </c>
      <c r="K28" s="5">
        <v>30.530771</v>
      </c>
      <c r="L28" s="2">
        <v>0</v>
      </c>
      <c r="M28" s="2" t="s">
        <v>333</v>
      </c>
    </row>
    <row r="29" ht="17.5" spans="1:13">
      <c r="A29" s="2" t="s">
        <v>105</v>
      </c>
      <c r="B29" s="2" t="s">
        <v>83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88</v>
      </c>
      <c r="H29" s="2" t="str">
        <f t="shared" si="0"/>
        <v>低风险</v>
      </c>
      <c r="I29" s="2" t="str">
        <f t="shared" si="1"/>
        <v>两年内火情次数0次、消防问题：无</v>
      </c>
      <c r="J29" s="5">
        <v>104.034233</v>
      </c>
      <c r="K29" s="5">
        <v>30.546541</v>
      </c>
      <c r="L29" s="2">
        <v>0</v>
      </c>
      <c r="M29" s="2" t="s">
        <v>332</v>
      </c>
    </row>
    <row r="30" ht="17.5" spans="1:13">
      <c r="A30" s="2" t="s">
        <v>106</v>
      </c>
      <c r="B30" s="2" t="s">
        <v>107</v>
      </c>
      <c r="C30" s="2" t="s">
        <v>108</v>
      </c>
      <c r="D30" s="2" t="s">
        <v>109</v>
      </c>
      <c r="E30" s="2" t="s">
        <v>110</v>
      </c>
      <c r="F30" s="2" t="s">
        <v>111</v>
      </c>
      <c r="G30" s="2" t="s">
        <v>112</v>
      </c>
      <c r="H30" s="2" t="str">
        <f t="shared" si="0"/>
        <v>低风险</v>
      </c>
      <c r="I30" s="2" t="str">
        <f t="shared" si="1"/>
        <v>两年内火情次数0次、消防问题：无</v>
      </c>
      <c r="J30" s="5">
        <v>104.185017</v>
      </c>
      <c r="K30" s="5">
        <v>30.579816</v>
      </c>
      <c r="L30" s="2">
        <v>0</v>
      </c>
      <c r="M30" s="2" t="s">
        <v>332</v>
      </c>
    </row>
    <row r="31" ht="17.5" spans="1:13">
      <c r="A31" s="2" t="s">
        <v>113</v>
      </c>
      <c r="B31" s="2" t="s">
        <v>114</v>
      </c>
      <c r="C31" s="2" t="s">
        <v>115</v>
      </c>
      <c r="D31" s="2" t="s">
        <v>116</v>
      </c>
      <c r="E31" s="2" t="s">
        <v>86</v>
      </c>
      <c r="F31" s="2" t="s">
        <v>111</v>
      </c>
      <c r="G31" s="2" t="s">
        <v>117</v>
      </c>
      <c r="H31" s="2" t="str">
        <f t="shared" si="0"/>
        <v>高风险</v>
      </c>
      <c r="I31" s="2" t="str">
        <f t="shared" si="1"/>
        <v>两年内火情次数3次、消防问题：无</v>
      </c>
      <c r="J31" s="5">
        <v>104.042843</v>
      </c>
      <c r="K31" s="5">
        <v>30.488072</v>
      </c>
      <c r="L31" s="2">
        <v>3</v>
      </c>
      <c r="M31" s="2" t="s">
        <v>332</v>
      </c>
    </row>
    <row r="32" ht="17.5" spans="1:13">
      <c r="A32" s="2" t="s">
        <v>118</v>
      </c>
      <c r="B32" s="2" t="s">
        <v>114</v>
      </c>
      <c r="C32" s="2" t="s">
        <v>119</v>
      </c>
      <c r="D32" s="2" t="s">
        <v>116</v>
      </c>
      <c r="E32" s="2" t="s">
        <v>86</v>
      </c>
      <c r="F32" s="2" t="s">
        <v>111</v>
      </c>
      <c r="G32" s="2" t="s">
        <v>117</v>
      </c>
      <c r="H32" s="2" t="str">
        <f t="shared" si="0"/>
        <v>高风险</v>
      </c>
      <c r="I32" s="2" t="str">
        <f t="shared" si="1"/>
        <v>两年内火情次数4次、消防问题：无</v>
      </c>
      <c r="J32" s="5">
        <v>104.029501</v>
      </c>
      <c r="K32" s="5">
        <v>30.472956</v>
      </c>
      <c r="L32" s="2">
        <v>4</v>
      </c>
      <c r="M32" s="2" t="s">
        <v>332</v>
      </c>
    </row>
    <row r="33" ht="17.5" spans="1:13">
      <c r="A33" s="2" t="s">
        <v>120</v>
      </c>
      <c r="B33" s="2" t="s">
        <v>114</v>
      </c>
      <c r="C33" s="2" t="s">
        <v>121</v>
      </c>
      <c r="D33" s="2" t="s">
        <v>116</v>
      </c>
      <c r="E33" s="2" t="s">
        <v>86</v>
      </c>
      <c r="F33" s="2" t="s">
        <v>111</v>
      </c>
      <c r="G33" s="2" t="s">
        <v>117</v>
      </c>
      <c r="H33" s="2" t="str">
        <f t="shared" si="0"/>
        <v>高风险</v>
      </c>
      <c r="I33" s="2" t="str">
        <f t="shared" si="1"/>
        <v>两年内火情次数3次、消防问题：无</v>
      </c>
      <c r="J33" s="5">
        <v>104.03467</v>
      </c>
      <c r="K33" s="5">
        <v>30.475534</v>
      </c>
      <c r="L33" s="2">
        <v>3</v>
      </c>
      <c r="M33" s="2" t="s">
        <v>332</v>
      </c>
    </row>
    <row r="34" ht="17.5" spans="1:13">
      <c r="A34" s="2" t="s">
        <v>122</v>
      </c>
      <c r="B34" s="2" t="s">
        <v>114</v>
      </c>
      <c r="C34" s="2" t="s">
        <v>123</v>
      </c>
      <c r="D34" s="2" t="s">
        <v>116</v>
      </c>
      <c r="E34" s="2" t="s">
        <v>86</v>
      </c>
      <c r="F34" s="2" t="s">
        <v>111</v>
      </c>
      <c r="G34" s="2" t="s">
        <v>117</v>
      </c>
      <c r="H34" s="2" t="str">
        <f t="shared" si="0"/>
        <v>中风险</v>
      </c>
      <c r="I34" s="2" t="str">
        <f t="shared" si="1"/>
        <v>两年内火情次数2次、消防问题：无</v>
      </c>
      <c r="J34" s="5">
        <v>104.040831</v>
      </c>
      <c r="K34" s="5">
        <v>30.474456</v>
      </c>
      <c r="L34" s="2">
        <v>2</v>
      </c>
      <c r="M34" s="2" t="s">
        <v>332</v>
      </c>
    </row>
    <row r="35" ht="17.5" spans="1:13">
      <c r="A35" s="2" t="s">
        <v>124</v>
      </c>
      <c r="B35" s="2" t="s">
        <v>114</v>
      </c>
      <c r="C35" s="2" t="s">
        <v>125</v>
      </c>
      <c r="D35" s="2" t="s">
        <v>116</v>
      </c>
      <c r="E35" s="2" t="s">
        <v>86</v>
      </c>
      <c r="F35" s="2" t="s">
        <v>111</v>
      </c>
      <c r="G35" s="2" t="s">
        <v>117</v>
      </c>
      <c r="H35" s="2" t="str">
        <f t="shared" ref="H35:H66" si="2">IF(L35=0,"低风险",IF(L35=2,"中风险",IF(L35&gt;=3,"高风险","低风险")))</f>
        <v>低风险</v>
      </c>
      <c r="I35" s="2" t="str">
        <f t="shared" ref="I35:I66" si="3">$L$1&amp;L35&amp;"次、"&amp;"消防问题："&amp;M35</f>
        <v>两年内火情次数1次、消防问题：无</v>
      </c>
      <c r="J35" s="5">
        <v>104</v>
      </c>
      <c r="K35" s="5">
        <v>30.49</v>
      </c>
      <c r="L35" s="2">
        <v>1</v>
      </c>
      <c r="M35" s="2" t="s">
        <v>332</v>
      </c>
    </row>
    <row r="36" ht="17.5" spans="1:13">
      <c r="A36" s="2" t="s">
        <v>126</v>
      </c>
      <c r="B36" s="2" t="s">
        <v>114</v>
      </c>
      <c r="C36" s="2" t="s">
        <v>127</v>
      </c>
      <c r="D36" s="2" t="s">
        <v>116</v>
      </c>
      <c r="E36" s="2" t="s">
        <v>86</v>
      </c>
      <c r="F36" s="2" t="s">
        <v>111</v>
      </c>
      <c r="G36" s="2" t="s">
        <v>117</v>
      </c>
      <c r="H36" s="2" t="str">
        <f t="shared" si="2"/>
        <v>低风险</v>
      </c>
      <c r="I36" s="2" t="str">
        <f t="shared" si="3"/>
        <v>两年内火情次数0次、消防问题：无</v>
      </c>
      <c r="J36" s="5">
        <v>104.02387</v>
      </c>
      <c r="K36" s="5">
        <v>30.471761</v>
      </c>
      <c r="L36" s="2">
        <v>0</v>
      </c>
      <c r="M36" s="2" t="s">
        <v>332</v>
      </c>
    </row>
    <row r="37" ht="17.5" spans="1:13">
      <c r="A37" s="2" t="s">
        <v>128</v>
      </c>
      <c r="B37" s="2" t="s">
        <v>114</v>
      </c>
      <c r="C37" s="2" t="s">
        <v>119</v>
      </c>
      <c r="D37" s="2" t="s">
        <v>116</v>
      </c>
      <c r="E37" s="2" t="s">
        <v>86</v>
      </c>
      <c r="F37" s="2" t="s">
        <v>111</v>
      </c>
      <c r="G37" s="2" t="s">
        <v>117</v>
      </c>
      <c r="H37" s="2" t="str">
        <f t="shared" si="2"/>
        <v>低风险</v>
      </c>
      <c r="I37" s="2" t="str">
        <f t="shared" si="3"/>
        <v>两年内火情次数1次、消防问题：无</v>
      </c>
      <c r="J37" s="5">
        <v>104.029756</v>
      </c>
      <c r="K37" s="5">
        <v>30.471848</v>
      </c>
      <c r="L37" s="2">
        <v>1</v>
      </c>
      <c r="M37" s="2" t="s">
        <v>332</v>
      </c>
    </row>
    <row r="38" ht="17.5" spans="1:13">
      <c r="A38" s="2" t="s">
        <v>129</v>
      </c>
      <c r="B38" s="2" t="s">
        <v>130</v>
      </c>
      <c r="C38" s="2" t="s">
        <v>131</v>
      </c>
      <c r="D38" s="2" t="s">
        <v>62</v>
      </c>
      <c r="E38" s="2" t="s">
        <v>18</v>
      </c>
      <c r="F38" s="2" t="s">
        <v>63</v>
      </c>
      <c r="G38" s="2" t="s">
        <v>132</v>
      </c>
      <c r="H38" s="2" t="str">
        <f t="shared" si="2"/>
        <v>低风险</v>
      </c>
      <c r="I38" s="2" t="str">
        <f t="shared" si="3"/>
        <v>两年内火情次数1次、消防问题：无</v>
      </c>
      <c r="J38" s="5">
        <v>103.980773</v>
      </c>
      <c r="K38" s="5">
        <v>30.739783</v>
      </c>
      <c r="L38" s="2">
        <v>1</v>
      </c>
      <c r="M38" s="2" t="s">
        <v>332</v>
      </c>
    </row>
    <row r="39" ht="17.5" spans="1:13">
      <c r="A39" s="2" t="s">
        <v>134</v>
      </c>
      <c r="B39" s="2" t="s">
        <v>130</v>
      </c>
      <c r="C39" s="2" t="s">
        <v>131</v>
      </c>
      <c r="D39" s="2" t="s">
        <v>62</v>
      </c>
      <c r="E39" s="2" t="s">
        <v>18</v>
      </c>
      <c r="F39" s="2" t="s">
        <v>63</v>
      </c>
      <c r="G39" s="2" t="s">
        <v>132</v>
      </c>
      <c r="H39" s="2" t="str">
        <f t="shared" si="2"/>
        <v>低风险</v>
      </c>
      <c r="I39" s="2" t="str">
        <f t="shared" si="3"/>
        <v>两年内火情次数1次、消防问题：无</v>
      </c>
      <c r="J39" s="5">
        <v>103.981149</v>
      </c>
      <c r="K39" s="5">
        <v>30.73625</v>
      </c>
      <c r="L39" s="2">
        <v>1</v>
      </c>
      <c r="M39" s="2" t="s">
        <v>332</v>
      </c>
    </row>
    <row r="40" ht="17.5" spans="1:13">
      <c r="A40" s="2" t="s">
        <v>135</v>
      </c>
      <c r="B40" s="2" t="s">
        <v>130</v>
      </c>
      <c r="C40" s="2" t="s">
        <v>136</v>
      </c>
      <c r="D40" s="2" t="s">
        <v>62</v>
      </c>
      <c r="E40" s="2" t="s">
        <v>18</v>
      </c>
      <c r="F40" s="2" t="s">
        <v>63</v>
      </c>
      <c r="G40" s="2" t="s">
        <v>132</v>
      </c>
      <c r="H40" s="2" t="str">
        <f t="shared" si="2"/>
        <v>中风险</v>
      </c>
      <c r="I40" s="2" t="str">
        <f t="shared" si="3"/>
        <v>两年内火情次数2次、消防问题：无</v>
      </c>
      <c r="J40" s="5">
        <v>103.975847</v>
      </c>
      <c r="K40" s="5">
        <v>30.75013</v>
      </c>
      <c r="L40" s="2">
        <v>2</v>
      </c>
      <c r="M40" s="2" t="s">
        <v>332</v>
      </c>
    </row>
    <row r="41" ht="17.5" spans="1:13">
      <c r="A41" s="2" t="s">
        <v>137</v>
      </c>
      <c r="B41" s="2" t="s">
        <v>130</v>
      </c>
      <c r="C41" s="2" t="s">
        <v>138</v>
      </c>
      <c r="D41" s="2" t="s">
        <v>62</v>
      </c>
      <c r="E41" s="2" t="s">
        <v>18</v>
      </c>
      <c r="F41" s="2" t="s">
        <v>63</v>
      </c>
      <c r="G41" s="2" t="s">
        <v>132</v>
      </c>
      <c r="H41" s="2" t="str">
        <f t="shared" si="2"/>
        <v>低风险</v>
      </c>
      <c r="I41" s="2" t="str">
        <f t="shared" si="3"/>
        <v>两年内火情次数0次、消防问题：无</v>
      </c>
      <c r="J41" s="5">
        <v>103.989047</v>
      </c>
      <c r="K41" s="5">
        <v>30.731995</v>
      </c>
      <c r="L41" s="2">
        <v>0</v>
      </c>
      <c r="M41" s="2" t="s">
        <v>332</v>
      </c>
    </row>
    <row r="42" ht="17.5" spans="1:13">
      <c r="A42" s="2" t="s">
        <v>139</v>
      </c>
      <c r="B42" s="2" t="s">
        <v>130</v>
      </c>
      <c r="C42" s="2" t="s">
        <v>140</v>
      </c>
      <c r="D42" s="2" t="s">
        <v>62</v>
      </c>
      <c r="E42" s="2" t="s">
        <v>18</v>
      </c>
      <c r="F42" s="2" t="s">
        <v>63</v>
      </c>
      <c r="G42" s="2" t="s">
        <v>132</v>
      </c>
      <c r="H42" s="2" t="str">
        <f t="shared" si="2"/>
        <v>高风险</v>
      </c>
      <c r="I42" s="2" t="str">
        <f t="shared" si="3"/>
        <v>两年内火情次数6次、消防问题：无</v>
      </c>
      <c r="J42" s="5">
        <v>103.979864</v>
      </c>
      <c r="K42" s="5">
        <v>30.738243</v>
      </c>
      <c r="L42" s="2">
        <v>6</v>
      </c>
      <c r="M42" s="2" t="s">
        <v>332</v>
      </c>
    </row>
    <row r="43" ht="17.5" spans="1:13">
      <c r="A43" s="2" t="s">
        <v>141</v>
      </c>
      <c r="B43" s="2" t="s">
        <v>142</v>
      </c>
      <c r="C43" s="2" t="s">
        <v>143</v>
      </c>
      <c r="D43" s="2" t="s">
        <v>144</v>
      </c>
      <c r="E43" s="2" t="s">
        <v>110</v>
      </c>
      <c r="F43" s="2" t="s">
        <v>111</v>
      </c>
      <c r="G43" s="2" t="s">
        <v>145</v>
      </c>
      <c r="H43" s="2" t="str">
        <f t="shared" si="2"/>
        <v>高风险</v>
      </c>
      <c r="I43" s="2" t="str">
        <f t="shared" si="3"/>
        <v>两年内火情次数3次、消防问题：无</v>
      </c>
      <c r="J43" s="5">
        <v>104.149824</v>
      </c>
      <c r="K43" s="5">
        <v>30.78994</v>
      </c>
      <c r="L43" s="2">
        <v>3</v>
      </c>
      <c r="M43" s="2" t="s">
        <v>332</v>
      </c>
    </row>
    <row r="44" ht="17.5" spans="1:13">
      <c r="A44" s="2" t="s">
        <v>148</v>
      </c>
      <c r="B44" s="2" t="s">
        <v>142</v>
      </c>
      <c r="C44" s="2" t="s">
        <v>149</v>
      </c>
      <c r="D44" s="2" t="s">
        <v>144</v>
      </c>
      <c r="E44" s="2" t="s">
        <v>110</v>
      </c>
      <c r="F44" s="2" t="s">
        <v>111</v>
      </c>
      <c r="G44" s="2" t="s">
        <v>145</v>
      </c>
      <c r="H44" s="2" t="str">
        <f t="shared" si="2"/>
        <v>低风险</v>
      </c>
      <c r="I44" s="2" t="str">
        <f t="shared" si="3"/>
        <v>两年内火情次数0次、消防问题：无</v>
      </c>
      <c r="J44" s="5">
        <v>104.171379</v>
      </c>
      <c r="K44" s="5">
        <v>30.773076</v>
      </c>
      <c r="L44" s="2">
        <v>0</v>
      </c>
      <c r="M44" s="2" t="s">
        <v>332</v>
      </c>
    </row>
    <row r="45" ht="17.5" spans="1:13">
      <c r="A45" s="2" t="s">
        <v>151</v>
      </c>
      <c r="B45" s="2" t="s">
        <v>142</v>
      </c>
      <c r="C45" s="2" t="s">
        <v>152</v>
      </c>
      <c r="D45" s="2" t="s">
        <v>144</v>
      </c>
      <c r="E45" s="2" t="s">
        <v>110</v>
      </c>
      <c r="F45" s="2" t="s">
        <v>111</v>
      </c>
      <c r="G45" s="2" t="s">
        <v>145</v>
      </c>
      <c r="H45" s="2" t="str">
        <f t="shared" si="2"/>
        <v>低风险</v>
      </c>
      <c r="I45" s="2" t="str">
        <f t="shared" si="3"/>
        <v>两年内火情次数1次、消防问题：无</v>
      </c>
      <c r="J45" s="5">
        <v>104.142776</v>
      </c>
      <c r="K45" s="5">
        <v>30.784284</v>
      </c>
      <c r="L45" s="2">
        <v>1</v>
      </c>
      <c r="M45" s="2" t="s">
        <v>332</v>
      </c>
    </row>
    <row r="46" ht="17.5" spans="1:13">
      <c r="A46" s="2" t="s">
        <v>153</v>
      </c>
      <c r="B46" s="2" t="s">
        <v>142</v>
      </c>
      <c r="C46" s="2" t="s">
        <v>154</v>
      </c>
      <c r="D46" s="2" t="s">
        <v>144</v>
      </c>
      <c r="E46" s="2" t="s">
        <v>110</v>
      </c>
      <c r="F46" s="2" t="s">
        <v>111</v>
      </c>
      <c r="G46" s="2" t="s">
        <v>145</v>
      </c>
      <c r="H46" s="2" t="str">
        <f t="shared" si="2"/>
        <v>低风险</v>
      </c>
      <c r="I46" s="2" t="str">
        <f t="shared" si="3"/>
        <v>两年内火情次数1次、消防问题：无</v>
      </c>
      <c r="J46" s="5">
        <v>104.159894</v>
      </c>
      <c r="K46" s="5">
        <v>30.774233</v>
      </c>
      <c r="L46" s="2">
        <v>1</v>
      </c>
      <c r="M46" s="2" t="s">
        <v>332</v>
      </c>
    </row>
    <row r="47" ht="17.5" spans="1:13">
      <c r="A47" s="2" t="s">
        <v>155</v>
      </c>
      <c r="B47" s="2" t="s">
        <v>142</v>
      </c>
      <c r="C47" s="2" t="s">
        <v>154</v>
      </c>
      <c r="D47" s="2" t="s">
        <v>144</v>
      </c>
      <c r="E47" s="2" t="s">
        <v>110</v>
      </c>
      <c r="F47" s="2" t="s">
        <v>111</v>
      </c>
      <c r="G47" s="2" t="s">
        <v>145</v>
      </c>
      <c r="H47" s="2" t="str">
        <f t="shared" si="2"/>
        <v>低风险</v>
      </c>
      <c r="I47" s="2" t="str">
        <f t="shared" si="3"/>
        <v>两年内火情次数0次、消防问题：无</v>
      </c>
      <c r="J47" s="5">
        <v>104.158593</v>
      </c>
      <c r="K47" s="5">
        <v>30.823568</v>
      </c>
      <c r="L47" s="2">
        <v>0</v>
      </c>
      <c r="M47" s="2" t="s">
        <v>332</v>
      </c>
    </row>
    <row r="48" ht="17.5" spans="1:13">
      <c r="A48" s="2" t="s">
        <v>156</v>
      </c>
      <c r="B48" s="2" t="s">
        <v>142</v>
      </c>
      <c r="C48" s="2" t="s">
        <v>152</v>
      </c>
      <c r="D48" s="2" t="s">
        <v>144</v>
      </c>
      <c r="E48" s="2" t="s">
        <v>110</v>
      </c>
      <c r="F48" s="2" t="s">
        <v>111</v>
      </c>
      <c r="G48" s="2" t="s">
        <v>145</v>
      </c>
      <c r="H48" s="2" t="str">
        <f t="shared" si="2"/>
        <v>低风险</v>
      </c>
      <c r="I48" s="2" t="str">
        <f t="shared" si="3"/>
        <v>两年内火情次数1次、消防问题：无</v>
      </c>
      <c r="J48" s="5">
        <v>116.990081</v>
      </c>
      <c r="K48" s="5">
        <v>32.620976</v>
      </c>
      <c r="L48" s="2">
        <v>1</v>
      </c>
      <c r="M48" s="2" t="s">
        <v>332</v>
      </c>
    </row>
    <row r="49" ht="17.5" spans="1:13">
      <c r="A49" s="2" t="s">
        <v>157</v>
      </c>
      <c r="B49" s="2" t="s">
        <v>158</v>
      </c>
      <c r="C49" s="2" t="s">
        <v>159</v>
      </c>
      <c r="D49" s="2" t="s">
        <v>116</v>
      </c>
      <c r="E49" s="2" t="s">
        <v>86</v>
      </c>
      <c r="F49" s="2" t="s">
        <v>111</v>
      </c>
      <c r="G49" s="2" t="s">
        <v>160</v>
      </c>
      <c r="H49" s="2" t="str">
        <f t="shared" si="2"/>
        <v>中风险</v>
      </c>
      <c r="I49" s="2" t="str">
        <f t="shared" si="3"/>
        <v>两年内火情次数2次、消防问题：无</v>
      </c>
      <c r="J49" s="5">
        <v>103.930089</v>
      </c>
      <c r="K49" s="5">
        <v>30.631003</v>
      </c>
      <c r="L49" s="2">
        <v>2</v>
      </c>
      <c r="M49" s="2" t="s">
        <v>332</v>
      </c>
    </row>
    <row r="50" ht="17.5" spans="1:13">
      <c r="A50" s="2" t="s">
        <v>161</v>
      </c>
      <c r="B50" s="2" t="s">
        <v>158</v>
      </c>
      <c r="C50" s="2" t="s">
        <v>162</v>
      </c>
      <c r="D50" s="2" t="s">
        <v>116</v>
      </c>
      <c r="E50" s="2" t="s">
        <v>86</v>
      </c>
      <c r="F50" s="2" t="s">
        <v>111</v>
      </c>
      <c r="G50" s="2" t="s">
        <v>160</v>
      </c>
      <c r="H50" s="2" t="str">
        <f t="shared" si="2"/>
        <v>低风险</v>
      </c>
      <c r="I50" s="2" t="str">
        <f t="shared" si="3"/>
        <v>两年内火情次数1次、消防问题：无</v>
      </c>
      <c r="J50" s="5">
        <v>103.926935</v>
      </c>
      <c r="K50" s="5">
        <v>30.628959</v>
      </c>
      <c r="L50" s="2">
        <v>1</v>
      </c>
      <c r="M50" s="2" t="s">
        <v>332</v>
      </c>
    </row>
    <row r="51" ht="17.5" spans="1:13">
      <c r="A51" s="2" t="s">
        <v>163</v>
      </c>
      <c r="B51" s="7" t="s">
        <v>164</v>
      </c>
      <c r="C51" s="2" t="s">
        <v>165</v>
      </c>
      <c r="D51" s="2" t="s">
        <v>116</v>
      </c>
      <c r="E51" s="2" t="s">
        <v>86</v>
      </c>
      <c r="F51" s="2" t="s">
        <v>111</v>
      </c>
      <c r="G51" s="2" t="s">
        <v>166</v>
      </c>
      <c r="H51" s="2" t="str">
        <f t="shared" si="2"/>
        <v>中风险</v>
      </c>
      <c r="I51" s="2" t="str">
        <f t="shared" si="3"/>
        <v>两年内火情次数2次、消防问题：无</v>
      </c>
      <c r="J51" s="5">
        <v>104.081091</v>
      </c>
      <c r="K51" s="5">
        <v>30.49284</v>
      </c>
      <c r="L51" s="2">
        <v>2</v>
      </c>
      <c r="M51" s="2" t="s">
        <v>332</v>
      </c>
    </row>
    <row r="52" ht="17.5" spans="1:13">
      <c r="A52" s="2" t="s">
        <v>168</v>
      </c>
      <c r="B52" s="7" t="s">
        <v>164</v>
      </c>
      <c r="C52" s="2" t="s">
        <v>169</v>
      </c>
      <c r="D52" s="2" t="s">
        <v>116</v>
      </c>
      <c r="E52" s="2" t="s">
        <v>86</v>
      </c>
      <c r="F52" s="2" t="s">
        <v>111</v>
      </c>
      <c r="G52" s="2" t="s">
        <v>166</v>
      </c>
      <c r="H52" s="2" t="str">
        <f t="shared" si="2"/>
        <v>中风险</v>
      </c>
      <c r="I52" s="2" t="str">
        <f t="shared" si="3"/>
        <v>两年内火情次数2次、消防问题：无</v>
      </c>
      <c r="J52" s="5">
        <v>104.082788</v>
      </c>
      <c r="K52" s="5">
        <v>30.494588</v>
      </c>
      <c r="L52" s="2">
        <v>2</v>
      </c>
      <c r="M52" s="2" t="s">
        <v>332</v>
      </c>
    </row>
    <row r="53" ht="17.5" spans="1:13">
      <c r="A53" s="2" t="s">
        <v>170</v>
      </c>
      <c r="B53" s="7" t="s">
        <v>164</v>
      </c>
      <c r="C53" s="2" t="s">
        <v>171</v>
      </c>
      <c r="D53" s="2" t="s">
        <v>116</v>
      </c>
      <c r="E53" s="2" t="s">
        <v>86</v>
      </c>
      <c r="F53" s="2" t="s">
        <v>111</v>
      </c>
      <c r="G53" s="2" t="s">
        <v>166</v>
      </c>
      <c r="H53" s="2" t="str">
        <f t="shared" si="2"/>
        <v>低风险</v>
      </c>
      <c r="I53" s="2" t="str">
        <f t="shared" si="3"/>
        <v>两年内火情次数0次、消防问题：无</v>
      </c>
      <c r="J53" s="5">
        <v>104.077181</v>
      </c>
      <c r="K53" s="5">
        <v>30.515635</v>
      </c>
      <c r="L53" s="2">
        <v>0</v>
      </c>
      <c r="M53" s="2" t="s">
        <v>332</v>
      </c>
    </row>
    <row r="54" ht="17.5" spans="1:13">
      <c r="A54" s="2" t="s">
        <v>172</v>
      </c>
      <c r="B54" s="7" t="s">
        <v>164</v>
      </c>
      <c r="C54" s="2" t="s">
        <v>173</v>
      </c>
      <c r="D54" s="2" t="s">
        <v>116</v>
      </c>
      <c r="E54" s="2" t="s">
        <v>86</v>
      </c>
      <c r="F54" s="2" t="s">
        <v>111</v>
      </c>
      <c r="G54" s="2" t="s">
        <v>166</v>
      </c>
      <c r="H54" s="2" t="str">
        <f t="shared" si="2"/>
        <v>低风险</v>
      </c>
      <c r="I54" s="2" t="str">
        <f t="shared" si="3"/>
        <v>两年内火情次数0次、消防问题：无</v>
      </c>
      <c r="J54" s="5">
        <v>104.0598</v>
      </c>
      <c r="K54" s="5">
        <v>30.507433</v>
      </c>
      <c r="L54" s="2">
        <v>0</v>
      </c>
      <c r="M54" s="2" t="s">
        <v>332</v>
      </c>
    </row>
    <row r="55" ht="17.5" spans="1:13">
      <c r="A55" s="2" t="s">
        <v>175</v>
      </c>
      <c r="B55" s="2" t="s">
        <v>176</v>
      </c>
      <c r="C55" s="2" t="s">
        <v>177</v>
      </c>
      <c r="D55" s="2" t="s">
        <v>144</v>
      </c>
      <c r="E55" s="2" t="s">
        <v>110</v>
      </c>
      <c r="F55" s="2" t="s">
        <v>111</v>
      </c>
      <c r="G55" s="2" t="s">
        <v>178</v>
      </c>
      <c r="H55" s="2" t="str">
        <f t="shared" si="2"/>
        <v>低风险</v>
      </c>
      <c r="I55" s="2" t="str">
        <f t="shared" si="3"/>
        <v>两年内火情次数1次、消防问题：无</v>
      </c>
      <c r="J55" s="5">
        <v>104.266785</v>
      </c>
      <c r="K55" s="5">
        <v>30.894452</v>
      </c>
      <c r="L55" s="2">
        <v>1</v>
      </c>
      <c r="M55" s="2" t="s">
        <v>332</v>
      </c>
    </row>
    <row r="56" ht="17.5" spans="1:13">
      <c r="A56" s="2" t="s">
        <v>179</v>
      </c>
      <c r="B56" s="2" t="s">
        <v>176</v>
      </c>
      <c r="C56" s="2" t="s">
        <v>180</v>
      </c>
      <c r="D56" s="2" t="s">
        <v>144</v>
      </c>
      <c r="E56" s="2" t="s">
        <v>110</v>
      </c>
      <c r="F56" s="2" t="s">
        <v>111</v>
      </c>
      <c r="G56" s="2" t="s">
        <v>178</v>
      </c>
      <c r="H56" s="2" t="str">
        <f t="shared" si="2"/>
        <v>低风险</v>
      </c>
      <c r="I56" s="2" t="str">
        <f t="shared" si="3"/>
        <v>两年内火情次数0次、消防问题：无</v>
      </c>
      <c r="J56" s="5">
        <v>103.74606</v>
      </c>
      <c r="K56" s="5">
        <v>29.591045</v>
      </c>
      <c r="L56" s="2">
        <v>0</v>
      </c>
      <c r="M56" s="2" t="s">
        <v>332</v>
      </c>
    </row>
    <row r="57" ht="17.5" spans="1:13">
      <c r="A57" s="2" t="s">
        <v>181</v>
      </c>
      <c r="B57" s="2" t="s">
        <v>176</v>
      </c>
      <c r="C57" s="2" t="s">
        <v>182</v>
      </c>
      <c r="D57" s="2" t="s">
        <v>144</v>
      </c>
      <c r="E57" s="2" t="s">
        <v>110</v>
      </c>
      <c r="F57" s="2" t="s">
        <v>111</v>
      </c>
      <c r="G57" s="2" t="s">
        <v>178</v>
      </c>
      <c r="H57" s="2" t="str">
        <f t="shared" si="2"/>
        <v>低风险</v>
      </c>
      <c r="I57" s="2" t="str">
        <f t="shared" si="3"/>
        <v>两年内火情次数0次、消防问题：无</v>
      </c>
      <c r="J57" s="5">
        <v>104.240707</v>
      </c>
      <c r="K57" s="5">
        <v>30.885741</v>
      </c>
      <c r="L57" s="2">
        <v>0</v>
      </c>
      <c r="M57" s="2" t="s">
        <v>332</v>
      </c>
    </row>
    <row r="58" ht="17.5" spans="1:13">
      <c r="A58" s="2" t="s">
        <v>183</v>
      </c>
      <c r="B58" s="2" t="s">
        <v>184</v>
      </c>
      <c r="C58" s="2" t="s">
        <v>185</v>
      </c>
      <c r="D58" s="2" t="s">
        <v>109</v>
      </c>
      <c r="E58" s="2" t="s">
        <v>110</v>
      </c>
      <c r="F58" s="2" t="s">
        <v>111</v>
      </c>
      <c r="G58" s="2" t="s">
        <v>112</v>
      </c>
      <c r="H58" s="2" t="str">
        <f t="shared" si="2"/>
        <v>高风险</v>
      </c>
      <c r="I58" s="2" t="str">
        <f t="shared" si="3"/>
        <v>两年内火情次数5次、消防问题：无</v>
      </c>
      <c r="J58" s="5">
        <v>104.172209</v>
      </c>
      <c r="K58" s="5">
        <v>30.592394</v>
      </c>
      <c r="L58" s="2">
        <v>5</v>
      </c>
      <c r="M58" s="2" t="s">
        <v>332</v>
      </c>
    </row>
    <row r="59" ht="17.5" spans="1:13">
      <c r="A59" s="2" t="s">
        <v>186</v>
      </c>
      <c r="B59" s="2" t="s">
        <v>184</v>
      </c>
      <c r="C59" s="2" t="s">
        <v>187</v>
      </c>
      <c r="D59" s="2" t="s">
        <v>109</v>
      </c>
      <c r="E59" s="2" t="s">
        <v>110</v>
      </c>
      <c r="F59" s="2" t="s">
        <v>111</v>
      </c>
      <c r="G59" s="2" t="s">
        <v>112</v>
      </c>
      <c r="H59" s="2" t="str">
        <f t="shared" si="2"/>
        <v>低风险</v>
      </c>
      <c r="I59" s="2" t="str">
        <f t="shared" si="3"/>
        <v>两年内火情次数0次、消防问题：无</v>
      </c>
      <c r="J59" s="5">
        <v>104.180224</v>
      </c>
      <c r="K59" s="5">
        <v>30.589914</v>
      </c>
      <c r="L59" s="2">
        <v>0</v>
      </c>
      <c r="M59" s="2" t="s">
        <v>332</v>
      </c>
    </row>
    <row r="60" ht="17.5" spans="1:13">
      <c r="A60" s="2" t="s">
        <v>188</v>
      </c>
      <c r="B60" s="2" t="s">
        <v>184</v>
      </c>
      <c r="C60" s="2" t="s">
        <v>187</v>
      </c>
      <c r="D60" s="2" t="s">
        <v>109</v>
      </c>
      <c r="E60" s="2" t="s">
        <v>110</v>
      </c>
      <c r="F60" s="2" t="s">
        <v>111</v>
      </c>
      <c r="G60" s="2" t="s">
        <v>112</v>
      </c>
      <c r="H60" s="2" t="str">
        <f t="shared" si="2"/>
        <v>低风险</v>
      </c>
      <c r="I60" s="2" t="str">
        <f t="shared" si="3"/>
        <v>两年内火情次数0次、消防问题：无</v>
      </c>
      <c r="J60" s="5">
        <v>104.180224</v>
      </c>
      <c r="K60" s="5">
        <v>30.589914</v>
      </c>
      <c r="L60" s="2">
        <v>0</v>
      </c>
      <c r="M60" s="2" t="s">
        <v>332</v>
      </c>
    </row>
    <row r="61" ht="17.5" spans="1:13">
      <c r="A61" s="8" t="s">
        <v>189</v>
      </c>
      <c r="B61" s="2" t="s">
        <v>80</v>
      </c>
      <c r="C61" s="2" t="s">
        <v>187</v>
      </c>
      <c r="D61" s="2" t="s">
        <v>109</v>
      </c>
      <c r="E61" s="2" t="s">
        <v>110</v>
      </c>
      <c r="F61" s="2" t="s">
        <v>111</v>
      </c>
      <c r="G61" s="2" t="s">
        <v>112</v>
      </c>
      <c r="H61" s="2" t="str">
        <f t="shared" si="2"/>
        <v>低风险</v>
      </c>
      <c r="I61" s="2" t="str">
        <f t="shared" si="3"/>
        <v>两年内火情次数0次、消防问题：无</v>
      </c>
      <c r="J61" s="5">
        <v>104.168539</v>
      </c>
      <c r="K61" s="5">
        <v>30.593297</v>
      </c>
      <c r="L61" s="2">
        <v>0</v>
      </c>
      <c r="M61" s="2" t="s">
        <v>332</v>
      </c>
    </row>
    <row r="62" ht="17.5" spans="1:13">
      <c r="A62" s="8" t="s">
        <v>192</v>
      </c>
      <c r="B62" s="2" t="s">
        <v>80</v>
      </c>
      <c r="C62" s="2" t="s">
        <v>187</v>
      </c>
      <c r="D62" s="2" t="s">
        <v>109</v>
      </c>
      <c r="E62" s="2" t="s">
        <v>110</v>
      </c>
      <c r="F62" s="2" t="s">
        <v>111</v>
      </c>
      <c r="G62" s="2" t="s">
        <v>112</v>
      </c>
      <c r="H62" s="2" t="str">
        <f t="shared" si="2"/>
        <v>低风险</v>
      </c>
      <c r="I62" s="2" t="str">
        <f t="shared" si="3"/>
        <v>两年内火情次数0次、消防问题：无</v>
      </c>
      <c r="J62" s="5">
        <v>104.172642</v>
      </c>
      <c r="K62" s="5">
        <v>30.592629</v>
      </c>
      <c r="L62" s="2">
        <v>0</v>
      </c>
      <c r="M62" s="2" t="s">
        <v>332</v>
      </c>
    </row>
    <row r="63" ht="17.5" spans="1:13">
      <c r="A63" s="8" t="s">
        <v>193</v>
      </c>
      <c r="B63" s="2" t="s">
        <v>80</v>
      </c>
      <c r="C63" s="2" t="s">
        <v>187</v>
      </c>
      <c r="D63" s="2" t="s">
        <v>109</v>
      </c>
      <c r="E63" s="2" t="s">
        <v>110</v>
      </c>
      <c r="F63" s="2" t="s">
        <v>111</v>
      </c>
      <c r="G63" s="2" t="s">
        <v>112</v>
      </c>
      <c r="H63" s="2" t="str">
        <f t="shared" si="2"/>
        <v>低风险</v>
      </c>
      <c r="I63" s="2" t="str">
        <f t="shared" si="3"/>
        <v>两年内火情次数0次、消防问题：无</v>
      </c>
      <c r="J63" s="5">
        <v>104.180224</v>
      </c>
      <c r="K63" s="5">
        <v>30.589914</v>
      </c>
      <c r="L63" s="2">
        <v>0</v>
      </c>
      <c r="M63" s="2" t="s">
        <v>332</v>
      </c>
    </row>
    <row r="64" ht="17.5" spans="1:13">
      <c r="A64" s="2" t="s">
        <v>194</v>
      </c>
      <c r="B64" s="2" t="s">
        <v>195</v>
      </c>
      <c r="C64" s="2" t="s">
        <v>196</v>
      </c>
      <c r="D64" s="2" t="s">
        <v>109</v>
      </c>
      <c r="E64" s="2" t="s">
        <v>110</v>
      </c>
      <c r="F64" s="2" t="s">
        <v>111</v>
      </c>
      <c r="G64" s="2" t="s">
        <v>197</v>
      </c>
      <c r="H64" s="2" t="s">
        <v>21</v>
      </c>
      <c r="I64" s="2" t="str">
        <f t="shared" si="3"/>
        <v>两年内火情次数0次、消防问题："消防电系统：
1.2005年交付；设备线路老化消防远程控制系统瘫痪；
2.消防管网地库喷淋系统渗漏严重；无法保压。公共区域楼梯间消火栓能够保压；
3.应急照明故障电池故障，模块故障，预埋线路短路断路
4.个别卷帘门变形电机烧坏
5.手动报警联动无法接收信号；消防对讲电话无法接通；
消防水系统：
园区总平、地库、3、4、5、8、11、漏水严重无法保压"</v>
      </c>
      <c r="J64" s="5">
        <v>104.092632</v>
      </c>
      <c r="K64" s="5">
        <v>30.679086</v>
      </c>
      <c r="L64" s="2">
        <v>0</v>
      </c>
      <c r="M64" s="2" t="s">
        <v>334</v>
      </c>
    </row>
    <row r="65" ht="17.5" spans="1:13">
      <c r="A65" s="2" t="s">
        <v>198</v>
      </c>
      <c r="B65" s="2" t="s">
        <v>195</v>
      </c>
      <c r="C65" s="2" t="s">
        <v>199</v>
      </c>
      <c r="D65" s="2" t="s">
        <v>109</v>
      </c>
      <c r="E65" s="2" t="s">
        <v>110</v>
      </c>
      <c r="F65" s="2" t="s">
        <v>111</v>
      </c>
      <c r="G65" s="2" t="s">
        <v>197</v>
      </c>
      <c r="H65" s="2" t="str">
        <f t="shared" si="2"/>
        <v>高风险</v>
      </c>
      <c r="I65" s="2" t="str">
        <f t="shared" si="3"/>
        <v>两年内火情次数7次、消防问题：消防水系统漏水、消防主机故障</v>
      </c>
      <c r="J65" s="5">
        <v>104.108956</v>
      </c>
      <c r="K65" s="5">
        <v>30.670373</v>
      </c>
      <c r="L65" s="2">
        <v>7</v>
      </c>
      <c r="M65" s="2" t="s">
        <v>335</v>
      </c>
    </row>
    <row r="66" ht="17.5" spans="1:13">
      <c r="A66" s="2" t="s">
        <v>200</v>
      </c>
      <c r="B66" s="2" t="s">
        <v>195</v>
      </c>
      <c r="C66" s="2" t="s">
        <v>201</v>
      </c>
      <c r="D66" s="2" t="s">
        <v>109</v>
      </c>
      <c r="E66" s="2" t="s">
        <v>110</v>
      </c>
      <c r="F66" s="2" t="s">
        <v>111</v>
      </c>
      <c r="G66" s="2" t="s">
        <v>197</v>
      </c>
      <c r="H66" s="2" t="str">
        <f t="shared" si="2"/>
        <v>高风险</v>
      </c>
      <c r="I66" s="2" t="str">
        <f t="shared" si="3"/>
        <v>两年内火情次数3次、消防问题：无</v>
      </c>
      <c r="J66" s="5">
        <v>104.105723</v>
      </c>
      <c r="K66" s="5">
        <v>30.678715</v>
      </c>
      <c r="L66" s="2">
        <v>3</v>
      </c>
      <c r="M66" s="2" t="s">
        <v>332</v>
      </c>
    </row>
    <row r="67" ht="17.5" spans="1:13">
      <c r="A67" s="2" t="s">
        <v>202</v>
      </c>
      <c r="B67" s="2" t="s">
        <v>195</v>
      </c>
      <c r="C67" s="2" t="s">
        <v>203</v>
      </c>
      <c r="D67" s="2" t="s">
        <v>109</v>
      </c>
      <c r="E67" s="2" t="s">
        <v>110</v>
      </c>
      <c r="F67" s="2" t="s">
        <v>111</v>
      </c>
      <c r="G67" s="2" t="s">
        <v>197</v>
      </c>
      <c r="H67" s="2" t="s">
        <v>21</v>
      </c>
      <c r="I67" s="2" t="str">
        <f t="shared" ref="I67:I98" si="4">$L$1&amp;L67&amp;"次、"&amp;"消防问题："&amp;M67</f>
        <v>两年内火情次数2次、消防问题：消防电系统故障，管网漏水</v>
      </c>
      <c r="J67" s="5">
        <v>104.108899</v>
      </c>
      <c r="K67" s="5">
        <v>30.671493</v>
      </c>
      <c r="L67" s="2">
        <v>2</v>
      </c>
      <c r="M67" s="2" t="s">
        <v>336</v>
      </c>
    </row>
    <row r="68" ht="17.5" spans="1:13">
      <c r="A68" s="2" t="s">
        <v>204</v>
      </c>
      <c r="B68" s="2" t="s">
        <v>195</v>
      </c>
      <c r="C68" s="2" t="s">
        <v>205</v>
      </c>
      <c r="D68" s="2" t="s">
        <v>17</v>
      </c>
      <c r="E68" s="2" t="s">
        <v>18</v>
      </c>
      <c r="F68" s="2" t="s">
        <v>19</v>
      </c>
      <c r="G68" s="2" t="s">
        <v>197</v>
      </c>
      <c r="H68" s="2" t="str">
        <f t="shared" ref="H67:H98" si="5">IF(L68=0,"低风险",IF(L68=2,"中风险",IF(L68&gt;=3,"高风险","低风险")))</f>
        <v>低风险</v>
      </c>
      <c r="I68" s="2" t="str">
        <f t="shared" si="4"/>
        <v>两年内火情次数0次、消防问题：无</v>
      </c>
      <c r="J68" s="5">
        <v>104.093293</v>
      </c>
      <c r="K68" s="5">
        <v>30.638418</v>
      </c>
      <c r="L68" s="2">
        <v>0</v>
      </c>
      <c r="M68" s="2" t="s">
        <v>332</v>
      </c>
    </row>
    <row r="69" ht="17.5" spans="1:13">
      <c r="A69" s="2" t="s">
        <v>206</v>
      </c>
      <c r="B69" s="2" t="s">
        <v>195</v>
      </c>
      <c r="C69" s="2" t="s">
        <v>207</v>
      </c>
      <c r="D69" s="2" t="s">
        <v>17</v>
      </c>
      <c r="E69" s="2" t="s">
        <v>18</v>
      </c>
      <c r="F69" s="2" t="s">
        <v>19</v>
      </c>
      <c r="G69" s="2" t="s">
        <v>197</v>
      </c>
      <c r="H69" s="2" t="str">
        <f t="shared" si="5"/>
        <v>低风险</v>
      </c>
      <c r="I69" s="2" t="str">
        <f t="shared" si="4"/>
        <v>两年内火情次数0次、消防问题：无</v>
      </c>
      <c r="J69" s="5">
        <v>104.093258</v>
      </c>
      <c r="K69" s="5">
        <v>30.647985</v>
      </c>
      <c r="L69" s="2">
        <v>0</v>
      </c>
      <c r="M69" s="2" t="s">
        <v>332</v>
      </c>
    </row>
    <row r="70" ht="17.5" spans="1:13">
      <c r="A70" s="2" t="s">
        <v>208</v>
      </c>
      <c r="B70" s="2" t="s">
        <v>195</v>
      </c>
      <c r="C70" s="2" t="s">
        <v>209</v>
      </c>
      <c r="D70" s="2" t="s">
        <v>17</v>
      </c>
      <c r="E70" s="2" t="s">
        <v>18</v>
      </c>
      <c r="F70" s="2" t="s">
        <v>19</v>
      </c>
      <c r="G70" s="2" t="s">
        <v>197</v>
      </c>
      <c r="H70" s="2" t="str">
        <f t="shared" si="5"/>
        <v>低风险</v>
      </c>
      <c r="I70" s="2" t="str">
        <f t="shared" si="4"/>
        <v>两年内火情次数0次、消防问题：无</v>
      </c>
      <c r="J70" s="5">
        <v>104.086667</v>
      </c>
      <c r="K70" s="5">
        <v>30.65332</v>
      </c>
      <c r="L70" s="2">
        <v>0</v>
      </c>
      <c r="M70" s="2" t="s">
        <v>332</v>
      </c>
    </row>
    <row r="71" ht="17.5" spans="1:13">
      <c r="A71" s="2" t="s">
        <v>210</v>
      </c>
      <c r="B71" s="2" t="s">
        <v>211</v>
      </c>
      <c r="C71" s="2" t="s">
        <v>212</v>
      </c>
      <c r="D71" s="2" t="s">
        <v>116</v>
      </c>
      <c r="E71" s="2" t="s">
        <v>86</v>
      </c>
      <c r="F71" s="2" t="s">
        <v>111</v>
      </c>
      <c r="G71" s="2" t="s">
        <v>213</v>
      </c>
      <c r="H71" s="2" t="str">
        <f t="shared" si="5"/>
        <v>低风险</v>
      </c>
      <c r="I71" s="2" t="str">
        <f t="shared" si="4"/>
        <v>两年内火情次数0次、消防问题：无</v>
      </c>
      <c r="J71" s="5">
        <v>104.081545</v>
      </c>
      <c r="K71" s="5">
        <v>30.448331</v>
      </c>
      <c r="L71" s="2">
        <v>0</v>
      </c>
      <c r="M71" s="2" t="s">
        <v>332</v>
      </c>
    </row>
    <row r="72" ht="17.5" spans="1:13">
      <c r="A72" s="2" t="s">
        <v>214</v>
      </c>
      <c r="B72" s="2" t="s">
        <v>211</v>
      </c>
      <c r="C72" s="2" t="s">
        <v>215</v>
      </c>
      <c r="D72" s="2" t="s">
        <v>116</v>
      </c>
      <c r="E72" s="2" t="s">
        <v>86</v>
      </c>
      <c r="F72" s="2" t="s">
        <v>111</v>
      </c>
      <c r="G72" s="2" t="s">
        <v>213</v>
      </c>
      <c r="H72" s="2" t="str">
        <f t="shared" si="5"/>
        <v>中风险</v>
      </c>
      <c r="I72" s="2" t="str">
        <f t="shared" si="4"/>
        <v>两年内火情次数2次、消防问题：无</v>
      </c>
      <c r="J72" s="5">
        <v>104.081598</v>
      </c>
      <c r="K72" s="5">
        <v>30.516675</v>
      </c>
      <c r="L72" s="2">
        <v>2</v>
      </c>
      <c r="M72" s="2" t="s">
        <v>332</v>
      </c>
    </row>
    <row r="73" ht="17.5" spans="1:13">
      <c r="A73" s="2" t="s">
        <v>216</v>
      </c>
      <c r="B73" s="2" t="s">
        <v>211</v>
      </c>
      <c r="C73" s="2" t="s">
        <v>217</v>
      </c>
      <c r="D73" s="2" t="s">
        <v>116</v>
      </c>
      <c r="E73" s="2" t="s">
        <v>86</v>
      </c>
      <c r="F73" s="2" t="s">
        <v>111</v>
      </c>
      <c r="G73" s="2" t="s">
        <v>213</v>
      </c>
      <c r="H73" s="2" t="str">
        <f t="shared" si="5"/>
        <v>低风险</v>
      </c>
      <c r="I73" s="2" t="str">
        <f t="shared" si="4"/>
        <v>两年内火情次数0次、消防问题：无</v>
      </c>
      <c r="J73" s="5">
        <v>104.079725</v>
      </c>
      <c r="K73" s="5">
        <v>30.458633</v>
      </c>
      <c r="L73" s="2">
        <v>0</v>
      </c>
      <c r="M73" s="2" t="s">
        <v>332</v>
      </c>
    </row>
    <row r="74" ht="17.5" spans="1:13">
      <c r="A74" s="2" t="s">
        <v>218</v>
      </c>
      <c r="B74" s="2" t="s">
        <v>211</v>
      </c>
      <c r="C74" s="2" t="s">
        <v>219</v>
      </c>
      <c r="D74" s="2" t="s">
        <v>116</v>
      </c>
      <c r="E74" s="2" t="s">
        <v>86</v>
      </c>
      <c r="F74" s="2" t="s">
        <v>111</v>
      </c>
      <c r="G74" s="2" t="s">
        <v>213</v>
      </c>
      <c r="H74" s="2" t="str">
        <f t="shared" si="5"/>
        <v>低风险</v>
      </c>
      <c r="I74" s="2" t="str">
        <f t="shared" si="4"/>
        <v>两年内火情次数1次、消防问题：无</v>
      </c>
      <c r="J74" s="5">
        <v>104.086417</v>
      </c>
      <c r="K74" s="5">
        <v>30.465494</v>
      </c>
      <c r="L74" s="2">
        <v>1</v>
      </c>
      <c r="M74" s="2" t="s">
        <v>332</v>
      </c>
    </row>
    <row r="75" ht="17.5" spans="1:13">
      <c r="A75" s="2" t="s">
        <v>220</v>
      </c>
      <c r="B75" s="2" t="s">
        <v>211</v>
      </c>
      <c r="C75" s="2" t="s">
        <v>217</v>
      </c>
      <c r="D75" s="2" t="s">
        <v>116</v>
      </c>
      <c r="E75" s="2" t="s">
        <v>86</v>
      </c>
      <c r="F75" s="2" t="s">
        <v>111</v>
      </c>
      <c r="G75" s="2" t="s">
        <v>213</v>
      </c>
      <c r="H75" s="2" t="str">
        <f t="shared" si="5"/>
        <v>低风险</v>
      </c>
      <c r="I75" s="2" t="str">
        <f t="shared" si="4"/>
        <v>两年内火情次数0次、消防问题：无</v>
      </c>
      <c r="J75" s="5">
        <v>104.088094</v>
      </c>
      <c r="K75" s="5">
        <v>30.461143</v>
      </c>
      <c r="L75" s="2">
        <v>0</v>
      </c>
      <c r="M75" s="2" t="s">
        <v>332</v>
      </c>
    </row>
    <row r="76" ht="17.5" spans="1:13">
      <c r="A76" s="2" t="s">
        <v>221</v>
      </c>
      <c r="B76" s="2" t="s">
        <v>211</v>
      </c>
      <c r="C76" s="2" t="s">
        <v>219</v>
      </c>
      <c r="D76" s="2" t="s">
        <v>116</v>
      </c>
      <c r="E76" s="2" t="s">
        <v>86</v>
      </c>
      <c r="F76" s="2" t="s">
        <v>111</v>
      </c>
      <c r="G76" s="2" t="s">
        <v>213</v>
      </c>
      <c r="H76" s="2" t="str">
        <f t="shared" si="5"/>
        <v>低风险</v>
      </c>
      <c r="I76" s="2" t="str">
        <f t="shared" si="4"/>
        <v>两年内火情次数0次、消防问题：无</v>
      </c>
      <c r="J76" s="5">
        <v>104.088094</v>
      </c>
      <c r="K76" s="5">
        <v>30.461143</v>
      </c>
      <c r="L76" s="2">
        <v>0</v>
      </c>
      <c r="M76" s="2" t="s">
        <v>332</v>
      </c>
    </row>
    <row r="77" ht="17.5" spans="1:13">
      <c r="A77" s="2" t="s">
        <v>222</v>
      </c>
      <c r="B77" s="2" t="s">
        <v>211</v>
      </c>
      <c r="C77" s="2" t="s">
        <v>223</v>
      </c>
      <c r="D77" s="2" t="s">
        <v>116</v>
      </c>
      <c r="E77" s="2" t="s">
        <v>86</v>
      </c>
      <c r="F77" s="2" t="s">
        <v>111</v>
      </c>
      <c r="G77" s="2" t="s">
        <v>213</v>
      </c>
      <c r="H77" s="2" t="str">
        <f t="shared" si="5"/>
        <v>低风险</v>
      </c>
      <c r="I77" s="2" t="str">
        <f t="shared" si="4"/>
        <v>两年内火情次数0次、消防问题：无</v>
      </c>
      <c r="J77" s="5">
        <v>104.044928</v>
      </c>
      <c r="K77" s="5">
        <v>30.447203</v>
      </c>
      <c r="L77" s="2">
        <v>0</v>
      </c>
      <c r="M77" s="2" t="s">
        <v>332</v>
      </c>
    </row>
    <row r="78" ht="17.5" spans="1:13">
      <c r="A78" s="2" t="s">
        <v>224</v>
      </c>
      <c r="B78" s="2" t="s">
        <v>211</v>
      </c>
      <c r="C78" s="2" t="s">
        <v>223</v>
      </c>
      <c r="D78" s="2" t="s">
        <v>116</v>
      </c>
      <c r="E78" s="2" t="s">
        <v>86</v>
      </c>
      <c r="F78" s="2" t="s">
        <v>111</v>
      </c>
      <c r="G78" s="2" t="s">
        <v>213</v>
      </c>
      <c r="H78" s="2" t="str">
        <f t="shared" si="5"/>
        <v>低风险</v>
      </c>
      <c r="I78" s="2" t="str">
        <f t="shared" si="4"/>
        <v>两年内火情次数0次、消防问题：无</v>
      </c>
      <c r="J78" s="5">
        <v>104.044928</v>
      </c>
      <c r="K78" s="5">
        <v>30.447203</v>
      </c>
      <c r="L78" s="2">
        <v>0</v>
      </c>
      <c r="M78" s="2" t="s">
        <v>332</v>
      </c>
    </row>
    <row r="79" ht="17.5" spans="1:13">
      <c r="A79" s="2" t="s">
        <v>225</v>
      </c>
      <c r="B79" s="2" t="s">
        <v>211</v>
      </c>
      <c r="C79" s="2" t="s">
        <v>223</v>
      </c>
      <c r="D79" s="2" t="s">
        <v>116</v>
      </c>
      <c r="E79" s="2" t="s">
        <v>86</v>
      </c>
      <c r="F79" s="2" t="s">
        <v>111</v>
      </c>
      <c r="G79" s="2" t="s">
        <v>213</v>
      </c>
      <c r="H79" s="2" t="str">
        <f t="shared" si="5"/>
        <v>低风险</v>
      </c>
      <c r="I79" s="2" t="str">
        <f t="shared" si="4"/>
        <v>两年内火情次数0次、消防问题：无</v>
      </c>
      <c r="J79" s="5">
        <v>104.044928</v>
      </c>
      <c r="K79" s="5">
        <v>30.447203</v>
      </c>
      <c r="L79" s="2">
        <v>0</v>
      </c>
      <c r="M79" s="2" t="s">
        <v>332</v>
      </c>
    </row>
    <row r="80" ht="17.5" spans="1:13">
      <c r="A80" s="2" t="s">
        <v>226</v>
      </c>
      <c r="B80" s="2" t="s">
        <v>211</v>
      </c>
      <c r="C80" s="2" t="s">
        <v>223</v>
      </c>
      <c r="D80" s="2" t="s">
        <v>116</v>
      </c>
      <c r="E80" s="2" t="s">
        <v>86</v>
      </c>
      <c r="F80" s="2" t="s">
        <v>111</v>
      </c>
      <c r="G80" s="2" t="s">
        <v>213</v>
      </c>
      <c r="H80" s="2" t="str">
        <f t="shared" si="5"/>
        <v>低风险</v>
      </c>
      <c r="I80" s="2" t="str">
        <f t="shared" si="4"/>
        <v>两年内火情次数0次、消防问题：无</v>
      </c>
      <c r="J80" s="5">
        <v>104.120575</v>
      </c>
      <c r="K80" s="5">
        <v>30.398959</v>
      </c>
      <c r="L80" s="2">
        <v>0</v>
      </c>
      <c r="M80" s="2" t="s">
        <v>332</v>
      </c>
    </row>
    <row r="81" ht="17.5" spans="1:13">
      <c r="A81" s="2" t="s">
        <v>227</v>
      </c>
      <c r="B81" s="2" t="s">
        <v>228</v>
      </c>
      <c r="C81" s="2" t="s">
        <v>229</v>
      </c>
      <c r="D81" s="2" t="s">
        <v>62</v>
      </c>
      <c r="E81" s="2" t="s">
        <v>18</v>
      </c>
      <c r="F81" s="2" t="s">
        <v>63</v>
      </c>
      <c r="G81" s="2" t="s">
        <v>230</v>
      </c>
      <c r="H81" s="2" t="str">
        <f t="shared" si="5"/>
        <v>中风险</v>
      </c>
      <c r="I81" s="2" t="str">
        <f t="shared" si="4"/>
        <v>两年内火情次数2次、消防问题：无</v>
      </c>
      <c r="J81" s="5">
        <v>104.044972</v>
      </c>
      <c r="K81" s="5">
        <v>30.693231</v>
      </c>
      <c r="L81" s="2">
        <v>2</v>
      </c>
      <c r="M81" s="2" t="s">
        <v>332</v>
      </c>
    </row>
    <row r="82" ht="17.5" spans="1:13">
      <c r="A82" s="2" t="s">
        <v>231</v>
      </c>
      <c r="B82" s="2" t="s">
        <v>228</v>
      </c>
      <c r="C82" s="2" t="s">
        <v>232</v>
      </c>
      <c r="D82" s="2" t="s">
        <v>62</v>
      </c>
      <c r="E82" s="2" t="s">
        <v>18</v>
      </c>
      <c r="F82" s="2" t="s">
        <v>63</v>
      </c>
      <c r="G82" s="2" t="s">
        <v>230</v>
      </c>
      <c r="H82" s="2" t="str">
        <f t="shared" si="5"/>
        <v>高风险</v>
      </c>
      <c r="I82" s="2" t="str">
        <f t="shared" si="4"/>
        <v>两年内火情次数3次、消防问题：无</v>
      </c>
      <c r="J82" s="5">
        <v>104.013189</v>
      </c>
      <c r="K82" s="5">
        <v>30.710039</v>
      </c>
      <c r="L82" s="2">
        <v>3</v>
      </c>
      <c r="M82" s="2" t="s">
        <v>332</v>
      </c>
    </row>
    <row r="83" ht="17.5" spans="1:13">
      <c r="A83" s="2" t="s">
        <v>234</v>
      </c>
      <c r="B83" s="2" t="s">
        <v>228</v>
      </c>
      <c r="C83" s="2" t="s">
        <v>235</v>
      </c>
      <c r="D83" s="2" t="s">
        <v>62</v>
      </c>
      <c r="E83" s="2" t="s">
        <v>18</v>
      </c>
      <c r="F83" s="2" t="s">
        <v>63</v>
      </c>
      <c r="G83" s="2" t="s">
        <v>230</v>
      </c>
      <c r="H83" s="2" t="str">
        <f t="shared" si="5"/>
        <v>低风险</v>
      </c>
      <c r="I83" s="2" t="str">
        <f t="shared" si="4"/>
        <v>两年内火情次数1次、消防问题：无</v>
      </c>
      <c r="J83" s="5">
        <v>104.003588</v>
      </c>
      <c r="K83" s="5">
        <v>30.717203</v>
      </c>
      <c r="L83" s="2">
        <v>1</v>
      </c>
      <c r="M83" s="2" t="s">
        <v>332</v>
      </c>
    </row>
    <row r="84" ht="17.5" spans="1:13">
      <c r="A84" s="2" t="s">
        <v>236</v>
      </c>
      <c r="B84" s="2" t="s">
        <v>228</v>
      </c>
      <c r="C84" s="2" t="s">
        <v>235</v>
      </c>
      <c r="D84" s="2" t="s">
        <v>62</v>
      </c>
      <c r="E84" s="2" t="s">
        <v>18</v>
      </c>
      <c r="F84" s="2" t="s">
        <v>63</v>
      </c>
      <c r="G84" s="2" t="s">
        <v>230</v>
      </c>
      <c r="H84" s="2" t="str">
        <f t="shared" si="5"/>
        <v>低风险</v>
      </c>
      <c r="I84" s="2" t="str">
        <f t="shared" si="4"/>
        <v>两年内火情次数0次、消防问题：无</v>
      </c>
      <c r="J84" s="5">
        <v>103.99466</v>
      </c>
      <c r="K84" s="5">
        <v>30.708894</v>
      </c>
      <c r="L84" s="2">
        <v>0</v>
      </c>
      <c r="M84" s="2" t="s">
        <v>332</v>
      </c>
    </row>
    <row r="85" ht="17.5" spans="1:13">
      <c r="A85" s="2" t="s">
        <v>237</v>
      </c>
      <c r="B85" s="2" t="s">
        <v>228</v>
      </c>
      <c r="C85" s="2" t="s">
        <v>238</v>
      </c>
      <c r="D85" s="2" t="s">
        <v>62</v>
      </c>
      <c r="E85" s="2" t="s">
        <v>18</v>
      </c>
      <c r="F85" s="2" t="s">
        <v>63</v>
      </c>
      <c r="G85" s="2" t="s">
        <v>230</v>
      </c>
      <c r="H85" s="2" t="str">
        <f t="shared" si="5"/>
        <v>低风险</v>
      </c>
      <c r="I85" s="2" t="str">
        <f t="shared" si="4"/>
        <v>两年内火情次数1次、消防问题：无</v>
      </c>
      <c r="J85" s="5">
        <v>104.01148</v>
      </c>
      <c r="K85" s="5">
        <v>30.730348</v>
      </c>
      <c r="L85" s="2">
        <v>1</v>
      </c>
      <c r="M85" s="2" t="s">
        <v>332</v>
      </c>
    </row>
    <row r="86" ht="17.5" spans="1:13">
      <c r="A86" s="2" t="s">
        <v>240</v>
      </c>
      <c r="B86" s="2" t="s">
        <v>228</v>
      </c>
      <c r="C86" s="2" t="s">
        <v>238</v>
      </c>
      <c r="D86" s="2" t="s">
        <v>62</v>
      </c>
      <c r="E86" s="2" t="s">
        <v>18</v>
      </c>
      <c r="F86" s="2" t="s">
        <v>63</v>
      </c>
      <c r="G86" s="2" t="s">
        <v>230</v>
      </c>
      <c r="H86" s="2" t="str">
        <f t="shared" si="5"/>
        <v>低风险</v>
      </c>
      <c r="I86" s="2" t="str">
        <f t="shared" si="4"/>
        <v>两年内火情次数0次、消防问题：无</v>
      </c>
      <c r="J86" s="5">
        <v>104.02</v>
      </c>
      <c r="K86" s="5">
        <v>30.73</v>
      </c>
      <c r="L86" s="2">
        <v>0</v>
      </c>
      <c r="M86" s="2" t="s">
        <v>332</v>
      </c>
    </row>
    <row r="87" ht="17.5" spans="1:13">
      <c r="A87" s="2" t="s">
        <v>241</v>
      </c>
      <c r="B87" s="2" t="s">
        <v>242</v>
      </c>
      <c r="C87" s="2" t="s">
        <v>243</v>
      </c>
      <c r="D87" s="2" t="s">
        <v>244</v>
      </c>
      <c r="E87" s="2" t="s">
        <v>245</v>
      </c>
      <c r="F87" s="2" t="s">
        <v>246</v>
      </c>
      <c r="G87" s="2" t="s">
        <v>247</v>
      </c>
      <c r="H87" s="2" t="str">
        <f t="shared" si="5"/>
        <v>高风险</v>
      </c>
      <c r="I87" s="2" t="str">
        <f t="shared" si="4"/>
        <v>两年内火情次数6次、消防问题：无</v>
      </c>
      <c r="J87" s="5">
        <v>102.780346</v>
      </c>
      <c r="K87" s="5">
        <v>24.956906</v>
      </c>
      <c r="L87" s="2">
        <v>6</v>
      </c>
      <c r="M87" s="2" t="s">
        <v>332</v>
      </c>
    </row>
    <row r="88" ht="17.5" spans="1:13">
      <c r="A88" s="2" t="s">
        <v>248</v>
      </c>
      <c r="B88" s="2" t="s">
        <v>242</v>
      </c>
      <c r="C88" s="2" t="s">
        <v>243</v>
      </c>
      <c r="D88" s="2" t="s">
        <v>244</v>
      </c>
      <c r="E88" s="2" t="s">
        <v>245</v>
      </c>
      <c r="F88" s="2" t="s">
        <v>246</v>
      </c>
      <c r="G88" s="2" t="s">
        <v>247</v>
      </c>
      <c r="H88" s="2" t="str">
        <f t="shared" si="5"/>
        <v>高风险</v>
      </c>
      <c r="I88" s="2" t="str">
        <f t="shared" si="4"/>
        <v>两年内火情次数4次、消防问题：无</v>
      </c>
      <c r="J88" s="5">
        <v>102.780346</v>
      </c>
      <c r="K88" s="5">
        <v>24.956906</v>
      </c>
      <c r="L88" s="2">
        <v>4</v>
      </c>
      <c r="M88" s="2" t="s">
        <v>332</v>
      </c>
    </row>
    <row r="89" ht="17.5" spans="1:13">
      <c r="A89" s="2" t="s">
        <v>249</v>
      </c>
      <c r="B89" s="2" t="s">
        <v>242</v>
      </c>
      <c r="C89" s="2" t="s">
        <v>250</v>
      </c>
      <c r="D89" s="2" t="s">
        <v>244</v>
      </c>
      <c r="E89" s="2" t="s">
        <v>245</v>
      </c>
      <c r="F89" s="2" t="s">
        <v>246</v>
      </c>
      <c r="G89" s="2" t="s">
        <v>247</v>
      </c>
      <c r="H89" s="2" t="str">
        <f t="shared" si="5"/>
        <v>低风险</v>
      </c>
      <c r="I89" s="2" t="str">
        <f t="shared" si="4"/>
        <v>两年内火情次数1次、消防问题：无</v>
      </c>
      <c r="J89" s="5">
        <v>102.780346</v>
      </c>
      <c r="K89" s="5">
        <v>24.956906</v>
      </c>
      <c r="L89" s="2">
        <v>1</v>
      </c>
      <c r="M89" s="2" t="s">
        <v>332</v>
      </c>
    </row>
    <row r="90" ht="17.5" spans="1:13">
      <c r="A90" s="2" t="s">
        <v>251</v>
      </c>
      <c r="B90" s="2" t="s">
        <v>252</v>
      </c>
      <c r="C90" s="2" t="s">
        <v>253</v>
      </c>
      <c r="D90" s="2" t="s">
        <v>254</v>
      </c>
      <c r="E90" s="2" t="s">
        <v>255</v>
      </c>
      <c r="F90" s="2" t="s">
        <v>256</v>
      </c>
      <c r="G90" s="2" t="s">
        <v>257</v>
      </c>
      <c r="H90" s="2" t="str">
        <f t="shared" si="5"/>
        <v>低风险</v>
      </c>
      <c r="I90" s="2" t="str">
        <f t="shared" si="4"/>
        <v>两年内火情次数0次、消防问题：无</v>
      </c>
      <c r="J90" s="5">
        <v>102.699256</v>
      </c>
      <c r="K90" s="5">
        <v>25.087308</v>
      </c>
      <c r="L90" s="2">
        <v>0</v>
      </c>
      <c r="M90" s="2" t="s">
        <v>332</v>
      </c>
    </row>
    <row r="91" ht="17.5" spans="1:13">
      <c r="A91" s="2" t="s">
        <v>258</v>
      </c>
      <c r="B91" s="2" t="s">
        <v>252</v>
      </c>
      <c r="C91" s="2" t="s">
        <v>259</v>
      </c>
      <c r="D91" s="2" t="s">
        <v>254</v>
      </c>
      <c r="E91" s="2" t="s">
        <v>255</v>
      </c>
      <c r="F91" s="2" t="s">
        <v>256</v>
      </c>
      <c r="G91" s="2" t="s">
        <v>257</v>
      </c>
      <c r="H91" s="2" t="str">
        <f t="shared" si="5"/>
        <v>低风险</v>
      </c>
      <c r="I91" s="2" t="str">
        <f t="shared" si="4"/>
        <v>两年内火情次数0次、消防问题：无</v>
      </c>
      <c r="J91" s="5">
        <v>102.716927</v>
      </c>
      <c r="K91" s="5">
        <v>25.09512</v>
      </c>
      <c r="L91" s="2">
        <v>0</v>
      </c>
      <c r="M91" s="2" t="s">
        <v>332</v>
      </c>
    </row>
    <row r="92" ht="17.5" spans="1:13">
      <c r="A92" s="2" t="s">
        <v>260</v>
      </c>
      <c r="B92" s="2" t="s">
        <v>252</v>
      </c>
      <c r="C92" s="2" t="s">
        <v>261</v>
      </c>
      <c r="D92" s="2" t="s">
        <v>254</v>
      </c>
      <c r="E92" s="2" t="s">
        <v>255</v>
      </c>
      <c r="F92" s="2" t="s">
        <v>256</v>
      </c>
      <c r="G92" s="2" t="s">
        <v>257</v>
      </c>
      <c r="H92" s="2" t="str">
        <f t="shared" si="5"/>
        <v>低风险</v>
      </c>
      <c r="I92" s="2" t="str">
        <f t="shared" si="4"/>
        <v>两年内火情次数1次、消防问题：无</v>
      </c>
      <c r="J92" s="5">
        <v>102.714049</v>
      </c>
      <c r="K92" s="5">
        <v>25.077425</v>
      </c>
      <c r="L92" s="2">
        <v>1</v>
      </c>
      <c r="M92" s="2" t="s">
        <v>332</v>
      </c>
    </row>
    <row r="93" ht="17.5" spans="1:13">
      <c r="A93" s="2" t="s">
        <v>262</v>
      </c>
      <c r="B93" s="2" t="s">
        <v>263</v>
      </c>
      <c r="C93" s="2" t="s">
        <v>264</v>
      </c>
      <c r="D93" s="2" t="s">
        <v>254</v>
      </c>
      <c r="E93" s="2" t="s">
        <v>255</v>
      </c>
      <c r="F93" s="2" t="s">
        <v>256</v>
      </c>
      <c r="G93" s="2" t="s">
        <v>265</v>
      </c>
      <c r="H93" s="2" t="str">
        <f t="shared" si="5"/>
        <v>高风险</v>
      </c>
      <c r="I93" s="2" t="str">
        <f t="shared" si="4"/>
        <v>两年内火情次数3次、消防问题：无</v>
      </c>
      <c r="J93" s="5">
        <v>102.742361</v>
      </c>
      <c r="K93" s="5">
        <v>25.119413</v>
      </c>
      <c r="L93" s="2">
        <v>3</v>
      </c>
      <c r="M93" s="2" t="s">
        <v>332</v>
      </c>
    </row>
    <row r="94" ht="17.5" spans="1:13">
      <c r="A94" s="2" t="s">
        <v>266</v>
      </c>
      <c r="B94" s="2" t="s">
        <v>263</v>
      </c>
      <c r="C94" s="2" t="s">
        <v>267</v>
      </c>
      <c r="D94" s="2" t="s">
        <v>254</v>
      </c>
      <c r="E94" s="2" t="s">
        <v>255</v>
      </c>
      <c r="F94" s="2" t="s">
        <v>256</v>
      </c>
      <c r="G94" s="2" t="s">
        <v>265</v>
      </c>
      <c r="H94" s="2" t="str">
        <f t="shared" si="5"/>
        <v>低风险</v>
      </c>
      <c r="I94" s="2" t="str">
        <f t="shared" si="4"/>
        <v>两年内火情次数0次、消防问题：无</v>
      </c>
      <c r="J94" s="5">
        <v>102.768789</v>
      </c>
      <c r="K94" s="5">
        <v>25.091608</v>
      </c>
      <c r="L94" s="2">
        <v>0</v>
      </c>
      <c r="M94" s="2" t="s">
        <v>332</v>
      </c>
    </row>
    <row r="95" ht="17.5" spans="1:13">
      <c r="A95" s="2" t="s">
        <v>268</v>
      </c>
      <c r="B95" s="2" t="s">
        <v>263</v>
      </c>
      <c r="C95" s="2" t="s">
        <v>267</v>
      </c>
      <c r="D95" s="2" t="s">
        <v>254</v>
      </c>
      <c r="E95" s="2" t="s">
        <v>255</v>
      </c>
      <c r="F95" s="2" t="s">
        <v>256</v>
      </c>
      <c r="G95" s="2" t="s">
        <v>265</v>
      </c>
      <c r="H95" s="2" t="str">
        <f t="shared" si="5"/>
        <v>低风险</v>
      </c>
      <c r="I95" s="2" t="str">
        <f t="shared" si="4"/>
        <v>两年内火情次数0次、消防问题：无</v>
      </c>
      <c r="J95" s="5">
        <v>102.762447</v>
      </c>
      <c r="K95" s="5">
        <v>25.125989</v>
      </c>
      <c r="L95" s="2">
        <v>0</v>
      </c>
      <c r="M95" s="2" t="s">
        <v>332</v>
      </c>
    </row>
    <row r="96" ht="17.5" spans="1:13">
      <c r="A96" s="2" t="s">
        <v>269</v>
      </c>
      <c r="B96" s="2" t="s">
        <v>263</v>
      </c>
      <c r="C96" s="2" t="s">
        <v>270</v>
      </c>
      <c r="D96" s="2" t="s">
        <v>254</v>
      </c>
      <c r="E96" s="2" t="s">
        <v>255</v>
      </c>
      <c r="F96" s="2" t="s">
        <v>256</v>
      </c>
      <c r="G96" s="2" t="s">
        <v>265</v>
      </c>
      <c r="H96" s="2" t="str">
        <f t="shared" si="5"/>
        <v>低风险</v>
      </c>
      <c r="I96" s="2" t="str">
        <f t="shared" si="4"/>
        <v>两年内火情次数0次、消防问题：无</v>
      </c>
      <c r="J96" s="5">
        <v>102.611809</v>
      </c>
      <c r="K96" s="5">
        <v>25.095013</v>
      </c>
      <c r="L96" s="2">
        <v>0</v>
      </c>
      <c r="M96" s="2" t="s">
        <v>332</v>
      </c>
    </row>
    <row r="97" ht="17.5" spans="1:13">
      <c r="A97" s="2" t="s">
        <v>271</v>
      </c>
      <c r="B97" s="2" t="s">
        <v>272</v>
      </c>
      <c r="C97" s="2" t="s">
        <v>273</v>
      </c>
      <c r="D97" s="2" t="s">
        <v>254</v>
      </c>
      <c r="E97" s="2" t="s">
        <v>255</v>
      </c>
      <c r="F97" s="2" t="s">
        <v>256</v>
      </c>
      <c r="G97" s="2" t="s">
        <v>274</v>
      </c>
      <c r="H97" s="2" t="str">
        <f t="shared" si="5"/>
        <v>低风险</v>
      </c>
      <c r="I97" s="2" t="str">
        <f t="shared" si="4"/>
        <v>两年内火情次数0次、消防问题：无</v>
      </c>
      <c r="J97" s="5">
        <v>102.74119</v>
      </c>
      <c r="K97" s="5">
        <v>25.054992</v>
      </c>
      <c r="L97" s="2">
        <v>0</v>
      </c>
      <c r="M97" s="2" t="s">
        <v>332</v>
      </c>
    </row>
    <row r="98" ht="17.5" spans="1:13">
      <c r="A98" s="2" t="s">
        <v>275</v>
      </c>
      <c r="B98" s="2" t="s">
        <v>272</v>
      </c>
      <c r="C98" s="2" t="s">
        <v>273</v>
      </c>
      <c r="D98" s="2" t="s">
        <v>254</v>
      </c>
      <c r="E98" s="2" t="s">
        <v>255</v>
      </c>
      <c r="F98" s="2" t="s">
        <v>256</v>
      </c>
      <c r="G98" s="2" t="s">
        <v>274</v>
      </c>
      <c r="H98" s="2" t="str">
        <f t="shared" si="5"/>
        <v>中风险</v>
      </c>
      <c r="I98" s="2" t="str">
        <f t="shared" si="4"/>
        <v>两年内火情次数2次、消防问题：无</v>
      </c>
      <c r="J98" s="5">
        <v>102.741614</v>
      </c>
      <c r="K98" s="5">
        <v>25.054214</v>
      </c>
      <c r="L98" s="2">
        <v>2</v>
      </c>
      <c r="M98" s="2" t="s">
        <v>332</v>
      </c>
    </row>
    <row r="99" ht="17.5" spans="1:13">
      <c r="A99" s="2" t="s">
        <v>276</v>
      </c>
      <c r="B99" s="2" t="s">
        <v>272</v>
      </c>
      <c r="C99" s="2" t="s">
        <v>277</v>
      </c>
      <c r="D99" s="2" t="s">
        <v>254</v>
      </c>
      <c r="E99" s="2" t="s">
        <v>255</v>
      </c>
      <c r="F99" s="2" t="s">
        <v>256</v>
      </c>
      <c r="G99" s="2" t="s">
        <v>274</v>
      </c>
      <c r="H99" s="2" t="str">
        <f t="shared" ref="H99:H124" si="6">IF(L99=0,"低风险",IF(L99=2,"中风险",IF(L99&gt;=3,"高风险","低风险")))</f>
        <v>低风险</v>
      </c>
      <c r="I99" s="2" t="str">
        <f t="shared" ref="I99:I124" si="7">$L$1&amp;L99&amp;"次、"&amp;"消防问题："&amp;M99</f>
        <v>两年内火情次数0次、消防问题：无</v>
      </c>
      <c r="J99" s="5">
        <v>102.733673</v>
      </c>
      <c r="K99" s="5">
        <v>25.074855</v>
      </c>
      <c r="L99" s="2">
        <v>0</v>
      </c>
      <c r="M99" s="2" t="s">
        <v>332</v>
      </c>
    </row>
    <row r="100" ht="17.5" spans="1:13">
      <c r="A100" s="2" t="s">
        <v>278</v>
      </c>
      <c r="B100" s="2" t="s">
        <v>279</v>
      </c>
      <c r="C100" s="2" t="s">
        <v>280</v>
      </c>
      <c r="D100" s="2" t="s">
        <v>254</v>
      </c>
      <c r="E100" s="2" t="s">
        <v>255</v>
      </c>
      <c r="F100" s="2" t="s">
        <v>256</v>
      </c>
      <c r="G100" s="2" t="s">
        <v>257</v>
      </c>
      <c r="H100" s="2" t="str">
        <f t="shared" si="6"/>
        <v>低风险</v>
      </c>
      <c r="I100" s="2" t="str">
        <f t="shared" si="7"/>
        <v>两年内火情次数0次、消防问题：无</v>
      </c>
      <c r="J100" s="5">
        <v>102.692497</v>
      </c>
      <c r="K100" s="5">
        <v>25.063367</v>
      </c>
      <c r="L100" s="2">
        <v>0</v>
      </c>
      <c r="M100" s="2" t="s">
        <v>332</v>
      </c>
    </row>
    <row r="101" ht="17.5" spans="1:13">
      <c r="A101" s="2" t="s">
        <v>281</v>
      </c>
      <c r="B101" s="2" t="s">
        <v>279</v>
      </c>
      <c r="C101" s="2" t="s">
        <v>282</v>
      </c>
      <c r="D101" s="2" t="s">
        <v>254</v>
      </c>
      <c r="E101" s="2" t="s">
        <v>255</v>
      </c>
      <c r="F101" s="2" t="s">
        <v>256</v>
      </c>
      <c r="G101" s="2" t="s">
        <v>283</v>
      </c>
      <c r="H101" s="2" t="str">
        <f t="shared" si="6"/>
        <v>高风险</v>
      </c>
      <c r="I101" s="2" t="str">
        <f t="shared" si="7"/>
        <v>两年内火情次数3次、消防问题：无</v>
      </c>
      <c r="J101" s="5">
        <v>102.654534</v>
      </c>
      <c r="K101" s="5">
        <v>25.053023</v>
      </c>
      <c r="L101" s="2">
        <v>3</v>
      </c>
      <c r="M101" s="2" t="s">
        <v>332</v>
      </c>
    </row>
    <row r="102" ht="17.5" spans="1:13">
      <c r="A102" s="2" t="s">
        <v>284</v>
      </c>
      <c r="B102" s="2" t="s">
        <v>279</v>
      </c>
      <c r="C102" s="2" t="s">
        <v>285</v>
      </c>
      <c r="D102" s="2" t="s">
        <v>254</v>
      </c>
      <c r="E102" s="2" t="s">
        <v>255</v>
      </c>
      <c r="F102" s="2" t="s">
        <v>256</v>
      </c>
      <c r="G102" s="2" t="s">
        <v>283</v>
      </c>
      <c r="H102" s="2" t="str">
        <f t="shared" si="6"/>
        <v>低风险</v>
      </c>
      <c r="I102" s="2" t="str">
        <f t="shared" si="7"/>
        <v>两年内火情次数0次、消防问题：无</v>
      </c>
      <c r="J102" s="5">
        <v>102.657399</v>
      </c>
      <c r="K102" s="5">
        <v>25.063275</v>
      </c>
      <c r="L102" s="2">
        <v>0</v>
      </c>
      <c r="M102" s="2" t="s">
        <v>332</v>
      </c>
    </row>
    <row r="103" ht="17.5" spans="1:13">
      <c r="A103" s="2" t="s">
        <v>286</v>
      </c>
      <c r="B103" s="2" t="s">
        <v>279</v>
      </c>
      <c r="C103" s="2" t="s">
        <v>287</v>
      </c>
      <c r="D103" s="2" t="s">
        <v>254</v>
      </c>
      <c r="E103" s="2" t="s">
        <v>255</v>
      </c>
      <c r="F103" s="2" t="s">
        <v>256</v>
      </c>
      <c r="G103" s="2" t="s">
        <v>283</v>
      </c>
      <c r="H103" s="2" t="str">
        <f t="shared" si="6"/>
        <v>高风险</v>
      </c>
      <c r="I103" s="2" t="str">
        <f t="shared" si="7"/>
        <v>两年内火情次数3次、消防问题：无</v>
      </c>
      <c r="J103" s="5">
        <v>102.671073</v>
      </c>
      <c r="K103" s="5">
        <v>25.085802</v>
      </c>
      <c r="L103" s="2">
        <v>3</v>
      </c>
      <c r="M103" s="2" t="s">
        <v>332</v>
      </c>
    </row>
    <row r="104" ht="17.5" spans="1:13">
      <c r="A104" s="2" t="s">
        <v>288</v>
      </c>
      <c r="B104" s="2" t="s">
        <v>289</v>
      </c>
      <c r="C104" s="2" t="s">
        <v>290</v>
      </c>
      <c r="D104" s="2" t="s">
        <v>244</v>
      </c>
      <c r="E104" s="2" t="s">
        <v>245</v>
      </c>
      <c r="F104" s="2" t="s">
        <v>246</v>
      </c>
      <c r="G104" s="2" t="s">
        <v>291</v>
      </c>
      <c r="H104" s="2" t="str">
        <f t="shared" si="6"/>
        <v>中风险</v>
      </c>
      <c r="I104" s="2" t="str">
        <f t="shared" si="7"/>
        <v>两年内火情次数2次、消防问题：无</v>
      </c>
      <c r="J104" s="5">
        <v>102.714463</v>
      </c>
      <c r="K104" s="5">
        <v>25.02987</v>
      </c>
      <c r="L104" s="2">
        <v>2</v>
      </c>
      <c r="M104" s="2" t="s">
        <v>332</v>
      </c>
    </row>
    <row r="105" ht="17.5" spans="1:13">
      <c r="A105" s="2" t="s">
        <v>292</v>
      </c>
      <c r="B105" s="2" t="s">
        <v>289</v>
      </c>
      <c r="C105" s="2" t="s">
        <v>293</v>
      </c>
      <c r="D105" s="2" t="s">
        <v>244</v>
      </c>
      <c r="E105" s="2" t="s">
        <v>245</v>
      </c>
      <c r="F105" s="2" t="s">
        <v>246</v>
      </c>
      <c r="G105" s="2" t="s">
        <v>294</v>
      </c>
      <c r="H105" s="2" t="str">
        <f t="shared" si="6"/>
        <v>低风险</v>
      </c>
      <c r="I105" s="2" t="str">
        <f t="shared" si="7"/>
        <v>两年内火情次数1次、消防问题：无</v>
      </c>
      <c r="J105" s="5">
        <v>102.717828</v>
      </c>
      <c r="K105" s="5">
        <v>25.025286</v>
      </c>
      <c r="L105" s="2">
        <v>1</v>
      </c>
      <c r="M105" s="2" t="s">
        <v>332</v>
      </c>
    </row>
    <row r="106" ht="17.5" spans="1:13">
      <c r="A106" s="2" t="s">
        <v>296</v>
      </c>
      <c r="B106" s="2" t="s">
        <v>289</v>
      </c>
      <c r="C106" s="2" t="s">
        <v>297</v>
      </c>
      <c r="D106" s="2" t="s">
        <v>244</v>
      </c>
      <c r="E106" s="2" t="s">
        <v>245</v>
      </c>
      <c r="F106" s="2" t="s">
        <v>246</v>
      </c>
      <c r="G106" s="2" t="s">
        <v>291</v>
      </c>
      <c r="H106" s="2" t="str">
        <f t="shared" si="6"/>
        <v>中风险</v>
      </c>
      <c r="I106" s="2" t="str">
        <f t="shared" si="7"/>
        <v>两年内火情次数2次、消防问题：无</v>
      </c>
      <c r="J106" s="5">
        <v>102.695891</v>
      </c>
      <c r="K106" s="5">
        <v>24.946842</v>
      </c>
      <c r="L106" s="2">
        <v>2</v>
      </c>
      <c r="M106" s="2" t="s">
        <v>332</v>
      </c>
    </row>
    <row r="107" ht="17.5" spans="1:13">
      <c r="A107" s="2" t="s">
        <v>298</v>
      </c>
      <c r="B107" s="2" t="s">
        <v>289</v>
      </c>
      <c r="C107" s="2" t="s">
        <v>299</v>
      </c>
      <c r="D107" s="2" t="s">
        <v>244</v>
      </c>
      <c r="E107" s="2" t="s">
        <v>245</v>
      </c>
      <c r="F107" s="2" t="s">
        <v>246</v>
      </c>
      <c r="G107" s="2" t="s">
        <v>294</v>
      </c>
      <c r="H107" s="2" t="str">
        <f t="shared" si="6"/>
        <v>低风险</v>
      </c>
      <c r="I107" s="2" t="str">
        <f t="shared" si="7"/>
        <v>两年内火情次数0次、消防问题：无</v>
      </c>
      <c r="J107" s="5">
        <v>102.774469</v>
      </c>
      <c r="K107" s="5">
        <v>24.976609</v>
      </c>
      <c r="L107" s="2">
        <v>0</v>
      </c>
      <c r="M107" s="2" t="s">
        <v>332</v>
      </c>
    </row>
    <row r="108" ht="17.5" spans="1:13">
      <c r="A108" s="2" t="s">
        <v>300</v>
      </c>
      <c r="B108" s="2" t="s">
        <v>289</v>
      </c>
      <c r="C108" s="2" t="s">
        <v>301</v>
      </c>
      <c r="D108" s="2" t="s">
        <v>244</v>
      </c>
      <c r="E108" s="2" t="s">
        <v>245</v>
      </c>
      <c r="F108" s="2" t="s">
        <v>246</v>
      </c>
      <c r="G108" s="2" t="s">
        <v>291</v>
      </c>
      <c r="H108" s="2" t="str">
        <f t="shared" si="6"/>
        <v>中风险</v>
      </c>
      <c r="I108" s="2" t="str">
        <f t="shared" si="7"/>
        <v>两年内火情次数2次、消防问题：无</v>
      </c>
      <c r="J108" s="5">
        <v>102.699675</v>
      </c>
      <c r="K108" s="5">
        <v>24.947529</v>
      </c>
      <c r="L108" s="2">
        <v>2</v>
      </c>
      <c r="M108" s="2" t="s">
        <v>332</v>
      </c>
    </row>
    <row r="109" ht="17.5" spans="1:13">
      <c r="A109" s="2" t="s">
        <v>302</v>
      </c>
      <c r="B109" s="2" t="s">
        <v>289</v>
      </c>
      <c r="C109" s="2" t="s">
        <v>303</v>
      </c>
      <c r="D109" s="2" t="s">
        <v>244</v>
      </c>
      <c r="E109" s="2" t="s">
        <v>245</v>
      </c>
      <c r="F109" s="2" t="s">
        <v>246</v>
      </c>
      <c r="G109" s="2" t="s">
        <v>294</v>
      </c>
      <c r="H109" s="2" t="str">
        <f t="shared" si="6"/>
        <v>高风险</v>
      </c>
      <c r="I109" s="2" t="str">
        <f t="shared" si="7"/>
        <v>两年内火情次数3次、消防问题：无</v>
      </c>
      <c r="J109" s="5">
        <v>102.73906</v>
      </c>
      <c r="K109" s="5">
        <v>24.971869</v>
      </c>
      <c r="L109" s="2">
        <v>3</v>
      </c>
      <c r="M109" s="2" t="s">
        <v>332</v>
      </c>
    </row>
    <row r="110" ht="17.5" spans="1:13">
      <c r="A110" s="2" t="s">
        <v>304</v>
      </c>
      <c r="B110" s="2" t="s">
        <v>80</v>
      </c>
      <c r="C110" s="2" t="s">
        <v>305</v>
      </c>
      <c r="D110" s="2" t="s">
        <v>62</v>
      </c>
      <c r="E110" s="2" t="s">
        <v>18</v>
      </c>
      <c r="F110" s="2" t="s">
        <v>63</v>
      </c>
      <c r="G110" s="2" t="s">
        <v>76</v>
      </c>
      <c r="H110" s="2" t="str">
        <f t="shared" si="6"/>
        <v>低风险</v>
      </c>
      <c r="I110" s="2" t="str">
        <f t="shared" si="7"/>
        <v>两年内火情次数1次、消防问题：无</v>
      </c>
      <c r="J110" s="5">
        <v>103.95061</v>
      </c>
      <c r="K110" s="5">
        <v>30.770008</v>
      </c>
      <c r="L110" s="2">
        <v>1</v>
      </c>
      <c r="M110" s="2" t="s">
        <v>332</v>
      </c>
    </row>
    <row r="111" ht="17.5" spans="1:13">
      <c r="A111" s="2" t="s">
        <v>306</v>
      </c>
      <c r="B111" s="2" t="s">
        <v>80</v>
      </c>
      <c r="C111" s="2" t="s">
        <v>307</v>
      </c>
      <c r="D111" s="2" t="s">
        <v>254</v>
      </c>
      <c r="E111" s="2" t="s">
        <v>255</v>
      </c>
      <c r="F111" s="2" t="s">
        <v>256</v>
      </c>
      <c r="G111" s="2" t="s">
        <v>265</v>
      </c>
      <c r="H111" s="2" t="str">
        <f t="shared" si="6"/>
        <v>低风险</v>
      </c>
      <c r="I111" s="2" t="str">
        <f t="shared" si="7"/>
        <v>两年内火情次数1次、消防问题：无</v>
      </c>
      <c r="J111" s="5">
        <v>102.743271</v>
      </c>
      <c r="K111" s="5">
        <v>25.11076</v>
      </c>
      <c r="L111" s="2">
        <v>1</v>
      </c>
      <c r="M111" s="2" t="s">
        <v>332</v>
      </c>
    </row>
    <row r="112" ht="17.5" spans="1:13">
      <c r="A112" s="2" t="s">
        <v>308</v>
      </c>
      <c r="B112" s="2" t="s">
        <v>80</v>
      </c>
      <c r="C112" s="2" t="s">
        <v>309</v>
      </c>
      <c r="D112" s="2" t="s">
        <v>244</v>
      </c>
      <c r="E112" s="2" t="s">
        <v>245</v>
      </c>
      <c r="F112" s="2" t="s">
        <v>246</v>
      </c>
      <c r="G112" s="2" t="s">
        <v>247</v>
      </c>
      <c r="H112" s="2" t="str">
        <f t="shared" si="6"/>
        <v>中风险</v>
      </c>
      <c r="I112" s="2" t="str">
        <f t="shared" si="7"/>
        <v>两年内火情次数2次、消防问题：无</v>
      </c>
      <c r="J112" s="5">
        <v>102.767799</v>
      </c>
      <c r="K112" s="5">
        <v>24.985322</v>
      </c>
      <c r="L112" s="2">
        <v>2</v>
      </c>
      <c r="M112" s="2" t="s">
        <v>332</v>
      </c>
    </row>
    <row r="113" ht="17.5" spans="1:13">
      <c r="A113" s="3" t="s">
        <v>310</v>
      </c>
      <c r="B113" s="2" t="s">
        <v>80</v>
      </c>
      <c r="C113" s="2" t="s">
        <v>311</v>
      </c>
      <c r="D113" s="2" t="s">
        <v>144</v>
      </c>
      <c r="E113" s="2" t="s">
        <v>110</v>
      </c>
      <c r="F113" s="2" t="s">
        <v>111</v>
      </c>
      <c r="G113" s="2" t="s">
        <v>312</v>
      </c>
      <c r="H113" s="2" t="str">
        <f t="shared" si="6"/>
        <v>低风险</v>
      </c>
      <c r="I113" s="2" t="str">
        <f t="shared" si="7"/>
        <v>两年内火情次数1次、消防问题：无</v>
      </c>
      <c r="J113" s="5">
        <v>104.141467</v>
      </c>
      <c r="K113" s="5">
        <v>30.715804</v>
      </c>
      <c r="L113" s="2">
        <v>1</v>
      </c>
      <c r="M113" s="2" t="s">
        <v>332</v>
      </c>
    </row>
    <row r="114" ht="17.5" spans="1:13">
      <c r="A114" s="2" t="s">
        <v>313</v>
      </c>
      <c r="B114" s="2" t="s">
        <v>130</v>
      </c>
      <c r="C114" s="2" t="s">
        <v>314</v>
      </c>
      <c r="D114" s="2" t="s">
        <v>62</v>
      </c>
      <c r="E114" s="2" t="s">
        <v>18</v>
      </c>
      <c r="F114" s="2" t="s">
        <v>63</v>
      </c>
      <c r="G114" s="2" t="s">
        <v>132</v>
      </c>
      <c r="H114" s="2" t="str">
        <f t="shared" si="6"/>
        <v>低风险</v>
      </c>
      <c r="I114" s="2" t="str">
        <f t="shared" si="7"/>
        <v>两年内火情次数1次、消防问题：无</v>
      </c>
      <c r="J114" s="5">
        <v>103.978542</v>
      </c>
      <c r="K114" s="5">
        <v>30.748312</v>
      </c>
      <c r="L114" s="2">
        <v>1</v>
      </c>
      <c r="M114" s="2" t="s">
        <v>332</v>
      </c>
    </row>
    <row r="115" ht="17.5" spans="1:13">
      <c r="A115" s="2" t="s">
        <v>315</v>
      </c>
      <c r="B115" s="2" t="s">
        <v>80</v>
      </c>
      <c r="C115" s="2" t="s">
        <v>316</v>
      </c>
      <c r="D115" s="2" t="s">
        <v>109</v>
      </c>
      <c r="E115" s="2" t="s">
        <v>110</v>
      </c>
      <c r="F115" s="2" t="s">
        <v>111</v>
      </c>
      <c r="G115" s="2" t="s">
        <v>112</v>
      </c>
      <c r="H115" s="2" t="str">
        <f t="shared" si="6"/>
        <v>低风险</v>
      </c>
      <c r="I115" s="2" t="str">
        <f t="shared" si="7"/>
        <v>两年内火情次数0次、消防问题：无</v>
      </c>
      <c r="J115" s="5">
        <v>104.208946</v>
      </c>
      <c r="K115" s="5">
        <v>30.581662</v>
      </c>
      <c r="L115" s="2">
        <v>0</v>
      </c>
      <c r="M115" s="2" t="s">
        <v>332</v>
      </c>
    </row>
    <row r="116" ht="17.5" spans="1:13">
      <c r="A116" s="7" t="s">
        <v>317</v>
      </c>
      <c r="B116" s="2" t="s">
        <v>80</v>
      </c>
      <c r="C116" s="2" t="s">
        <v>318</v>
      </c>
      <c r="D116" s="2" t="s">
        <v>109</v>
      </c>
      <c r="E116" s="2" t="s">
        <v>110</v>
      </c>
      <c r="F116" s="2" t="s">
        <v>111</v>
      </c>
      <c r="G116" s="2" t="s">
        <v>319</v>
      </c>
      <c r="H116" s="2" t="str">
        <f t="shared" si="6"/>
        <v>低风险</v>
      </c>
      <c r="I116" s="2" t="str">
        <f t="shared" si="7"/>
        <v>两年内火情次数0次、消防问题：无</v>
      </c>
      <c r="J116" s="5">
        <v>104.246193</v>
      </c>
      <c r="K116" s="5">
        <v>30.584604</v>
      </c>
      <c r="L116" s="2">
        <v>0</v>
      </c>
      <c r="M116" s="2" t="s">
        <v>332</v>
      </c>
    </row>
    <row r="117" ht="17.5" spans="1:13">
      <c r="A117" s="2" t="s">
        <v>320</v>
      </c>
      <c r="B117" s="2" t="s">
        <v>80</v>
      </c>
      <c r="C117" s="5" t="s">
        <v>321</v>
      </c>
      <c r="D117" s="2" t="s">
        <v>17</v>
      </c>
      <c r="E117" s="2" t="s">
        <v>18</v>
      </c>
      <c r="F117" s="2" t="s">
        <v>19</v>
      </c>
      <c r="G117" s="2" t="s">
        <v>319</v>
      </c>
      <c r="H117" s="2" t="str">
        <f t="shared" si="6"/>
        <v>低风险</v>
      </c>
      <c r="I117" s="2" t="str">
        <f t="shared" si="7"/>
        <v>两年内火情次数0次、消防问题：无</v>
      </c>
      <c r="J117" s="5">
        <v>116.837991</v>
      </c>
      <c r="K117" s="5">
        <v>39.957292</v>
      </c>
      <c r="L117" s="2">
        <v>0</v>
      </c>
      <c r="M117" s="2" t="s">
        <v>332</v>
      </c>
    </row>
    <row r="118" ht="17.5" spans="1:13">
      <c r="A118" s="2" t="s">
        <v>322</v>
      </c>
      <c r="B118" s="2" t="s">
        <v>80</v>
      </c>
      <c r="C118" s="5" t="s">
        <v>321</v>
      </c>
      <c r="D118" s="2" t="s">
        <v>17</v>
      </c>
      <c r="E118" s="2" t="s">
        <v>18</v>
      </c>
      <c r="F118" s="2" t="s">
        <v>19</v>
      </c>
      <c r="G118" s="2" t="s">
        <v>319</v>
      </c>
      <c r="H118" s="2" t="str">
        <f t="shared" si="6"/>
        <v>高风险</v>
      </c>
      <c r="I118" s="2" t="str">
        <f t="shared" si="7"/>
        <v>两年内火情次数3次、消防问题：无</v>
      </c>
      <c r="J118" s="5">
        <v>116.837991</v>
      </c>
      <c r="K118" s="5">
        <v>39.957292</v>
      </c>
      <c r="L118" s="2">
        <v>3</v>
      </c>
      <c r="M118" s="2" t="s">
        <v>332</v>
      </c>
    </row>
    <row r="119" ht="17.5" spans="1:13">
      <c r="A119" s="2" t="s">
        <v>315</v>
      </c>
      <c r="B119" s="2" t="s">
        <v>80</v>
      </c>
      <c r="C119" s="2" t="s">
        <v>316</v>
      </c>
      <c r="D119" s="2" t="s">
        <v>109</v>
      </c>
      <c r="E119" s="2" t="s">
        <v>110</v>
      </c>
      <c r="F119" s="2" t="s">
        <v>111</v>
      </c>
      <c r="G119" s="2" t="s">
        <v>319</v>
      </c>
      <c r="H119" s="2" t="str">
        <f t="shared" si="6"/>
        <v>低风险</v>
      </c>
      <c r="I119" s="2" t="str">
        <f t="shared" si="7"/>
        <v>两年内火情次数0次、消防问题：无</v>
      </c>
      <c r="J119" s="5">
        <v>104.208946</v>
      </c>
      <c r="K119" s="5">
        <v>30.581662</v>
      </c>
      <c r="L119" s="2">
        <v>0</v>
      </c>
      <c r="M119" s="2" t="s">
        <v>332</v>
      </c>
    </row>
    <row r="120" ht="17.5" spans="1:13">
      <c r="A120" s="9" t="s">
        <v>323</v>
      </c>
      <c r="B120" s="2" t="s">
        <v>80</v>
      </c>
      <c r="C120" s="5"/>
      <c r="D120" s="9" t="s">
        <v>85</v>
      </c>
      <c r="E120" s="2" t="s">
        <v>86</v>
      </c>
      <c r="F120" s="2" t="s">
        <v>87</v>
      </c>
      <c r="G120" s="2" t="s">
        <v>319</v>
      </c>
      <c r="H120" s="2" t="str">
        <f t="shared" si="6"/>
        <v>低风险</v>
      </c>
      <c r="I120" s="2" t="str">
        <f t="shared" si="7"/>
        <v>两年内火情次数1次、消防问题：无</v>
      </c>
      <c r="J120" s="5">
        <v>103.82</v>
      </c>
      <c r="K120" s="5">
        <v>30.49</v>
      </c>
      <c r="L120" s="2">
        <v>1</v>
      </c>
      <c r="M120" s="2" t="s">
        <v>332</v>
      </c>
    </row>
    <row r="121" ht="17.5" spans="1:13">
      <c r="A121" s="9" t="s">
        <v>324</v>
      </c>
      <c r="B121" s="2" t="s">
        <v>80</v>
      </c>
      <c r="C121" s="9" t="s">
        <v>325</v>
      </c>
      <c r="D121" s="9" t="s">
        <v>62</v>
      </c>
      <c r="E121" s="9" t="s">
        <v>18</v>
      </c>
      <c r="F121" s="2" t="s">
        <v>63</v>
      </c>
      <c r="G121" s="2" t="s">
        <v>319</v>
      </c>
      <c r="H121" s="2" t="str">
        <f t="shared" si="6"/>
        <v>低风险</v>
      </c>
      <c r="I121" s="2" t="str">
        <f t="shared" si="7"/>
        <v>两年内火情次数0次、消防问题：无</v>
      </c>
      <c r="J121" s="5">
        <v>103.954308</v>
      </c>
      <c r="K121" s="5">
        <v>30.790306</v>
      </c>
      <c r="L121" s="2">
        <v>0</v>
      </c>
      <c r="M121" s="2" t="s">
        <v>332</v>
      </c>
    </row>
    <row r="122" ht="17.5" spans="1:13">
      <c r="A122" s="9" t="s">
        <v>326</v>
      </c>
      <c r="B122" s="2" t="s">
        <v>80</v>
      </c>
      <c r="C122" s="5"/>
      <c r="D122" s="9" t="s">
        <v>85</v>
      </c>
      <c r="E122" s="2" t="s">
        <v>86</v>
      </c>
      <c r="F122" s="2" t="s">
        <v>87</v>
      </c>
      <c r="G122" s="2" t="s">
        <v>319</v>
      </c>
      <c r="H122" s="2" t="str">
        <f t="shared" si="6"/>
        <v>低风险</v>
      </c>
      <c r="I122" s="2" t="str">
        <f t="shared" si="7"/>
        <v>两年内火情次数0次、消防问题：无</v>
      </c>
      <c r="J122" s="5">
        <v>104.053439</v>
      </c>
      <c r="K122" s="5">
        <v>30.560547</v>
      </c>
      <c r="L122" s="2">
        <v>0</v>
      </c>
      <c r="M122" s="2" t="s">
        <v>332</v>
      </c>
    </row>
    <row r="123" ht="17.5" spans="1:13">
      <c r="A123" s="5" t="s">
        <v>327</v>
      </c>
      <c r="B123" s="5" t="s">
        <v>80</v>
      </c>
      <c r="C123" s="5"/>
      <c r="D123" s="10" t="s">
        <v>144</v>
      </c>
      <c r="E123" s="5" t="s">
        <v>110</v>
      </c>
      <c r="F123" s="2" t="s">
        <v>111</v>
      </c>
      <c r="G123" s="2" t="s">
        <v>319</v>
      </c>
      <c r="H123" s="2" t="str">
        <f t="shared" si="6"/>
        <v>低风险</v>
      </c>
      <c r="I123" s="2" t="str">
        <f t="shared" si="7"/>
        <v>两年内火情次数0次、消防问题：无</v>
      </c>
      <c r="J123" s="5">
        <v>104.172366</v>
      </c>
      <c r="K123" s="5">
        <v>30.678108</v>
      </c>
      <c r="L123" s="2">
        <v>0</v>
      </c>
      <c r="M123" s="2" t="s">
        <v>332</v>
      </c>
    </row>
    <row r="124" ht="17.5" spans="1:13">
      <c r="A124" s="2" t="s">
        <v>328</v>
      </c>
      <c r="B124" s="5" t="s">
        <v>80</v>
      </c>
      <c r="C124" s="5" t="s">
        <v>321</v>
      </c>
      <c r="D124" s="2" t="s">
        <v>17</v>
      </c>
      <c r="E124" s="2" t="s">
        <v>18</v>
      </c>
      <c r="F124" s="2" t="s">
        <v>19</v>
      </c>
      <c r="G124" s="2" t="s">
        <v>319</v>
      </c>
      <c r="H124" s="2" t="str">
        <f t="shared" si="6"/>
        <v>低风险</v>
      </c>
      <c r="I124" s="2" t="str">
        <f t="shared" si="7"/>
        <v>两年内火情次数0次、消防问题：无</v>
      </c>
      <c r="J124" s="5">
        <v>102.283447</v>
      </c>
      <c r="K124" s="5">
        <v>27.872229</v>
      </c>
      <c r="L124" s="2">
        <v>0</v>
      </c>
      <c r="M124" s="2" t="s">
        <v>332</v>
      </c>
    </row>
  </sheetData>
  <autoFilter xmlns:etc="http://www.wps.cn/officeDocument/2017/etCustomData" ref="A1:M124" etc:filterBottomFollowUsedRange="0">
    <extLst/>
  </autoFilter>
  <conditionalFormatting sqref="A124">
    <cfRule type="duplicateValues" dxfId="0" priority="1"/>
  </conditionalFormatting>
  <conditionalFormatting sqref="A1:A24 A26:A77 A79 A81:A118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O124"/>
  <sheetViews>
    <sheetView tabSelected="1" zoomScale="70" zoomScaleNormal="70" workbookViewId="0">
      <selection activeCell="J5" sqref="J5"/>
    </sheetView>
  </sheetViews>
  <sheetFormatPr defaultColWidth="8.72727272727273" defaultRowHeight="14"/>
  <cols>
    <col min="1" max="1" width="52.2727272727273" customWidth="1"/>
    <col min="2" max="2" width="30.8181818181818" customWidth="1"/>
    <col min="3" max="3" width="20.8181818181818" customWidth="1"/>
    <col min="4" max="4" width="6.81818181818182" customWidth="1"/>
    <col min="5" max="6" width="9.36363636363636" customWidth="1"/>
    <col min="7" max="7" width="15.0909090909091" customWidth="1"/>
    <col min="8" max="8" width="14.0272727272727" customWidth="1"/>
    <col min="9" max="9" width="41.5545454545455" customWidth="1"/>
    <col min="10" max="12" width="14.0272727272727" customWidth="1"/>
    <col min="13" max="13" width="18.9636363636364" style="1" customWidth="1"/>
    <col min="14" max="14" width="58.7" customWidth="1"/>
    <col min="15" max="15" width="30.7727272727273" customWidth="1"/>
  </cols>
  <sheetData>
    <row r="1" ht="17.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337</v>
      </c>
      <c r="I1" s="3" t="s">
        <v>10</v>
      </c>
      <c r="J1" s="2" t="s">
        <v>8</v>
      </c>
      <c r="K1" s="2" t="s">
        <v>9</v>
      </c>
      <c r="L1" s="4" t="s">
        <v>338</v>
      </c>
      <c r="M1" s="4" t="s">
        <v>339</v>
      </c>
      <c r="N1" s="4" t="s">
        <v>339</v>
      </c>
      <c r="O1" s="4" t="s">
        <v>340</v>
      </c>
    </row>
    <row r="2" ht="35" spans="1:1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str">
        <f>_xlfn.LET(_xlpm.年限分,IF(L2&lt;=6,1,IF(L2&lt;=12,2,IF(L2&lt;=18,3,4))),_xlpm.区域分,IF(M2="郊区",2,1),_xlpm.总分,_xlpm.年限分+_xlpm.区域分,IF(_xlpm.总分&lt;=3,"低风险",IF(_xlpm.总分=4,"中风险","高风险")))</f>
        <v>高风险</v>
      </c>
      <c r="I2" s="3" t="str">
        <f>"地处："&amp;M2&amp;"，接管年限："&amp;L2&amp;"，近两年治安事件："&amp;O2</f>
        <v>地处：主城区，接管年限：20，近两年治安事件：无</v>
      </c>
      <c r="J2" s="5">
        <v>104.152848</v>
      </c>
      <c r="K2" s="5">
        <v>30.625018</v>
      </c>
      <c r="L2" s="2">
        <v>20</v>
      </c>
      <c r="M2" s="4" t="s">
        <v>341</v>
      </c>
      <c r="N2" s="4" t="s">
        <v>342</v>
      </c>
      <c r="O2" s="6" t="s">
        <v>332</v>
      </c>
    </row>
    <row r="3" ht="35" spans="1:15">
      <c r="A3" s="2" t="s">
        <v>26</v>
      </c>
      <c r="B3" s="2" t="s">
        <v>15</v>
      </c>
      <c r="C3" s="2" t="s">
        <v>27</v>
      </c>
      <c r="D3" s="2" t="s">
        <v>17</v>
      </c>
      <c r="E3" s="2" t="s">
        <v>18</v>
      </c>
      <c r="F3" s="2" t="s">
        <v>19</v>
      </c>
      <c r="G3" s="2" t="s">
        <v>20</v>
      </c>
      <c r="H3" s="3" t="str">
        <f>_xlfn.LET(_xlpm.年限分,IF(L3&lt;=6,1,IF(L3&lt;=12,2,IF(L3&lt;=18,3,4))),_xlpm.区域分,IF(M3="郊区",2,1),_xlpm.总分,_xlpm.年限分+_xlpm.区域分,IF(_xlpm.总分&lt;=3,"低风险",IF(_xlpm.总分=4,"中风险","高风险")))</f>
        <v>低风险</v>
      </c>
      <c r="I3" s="3" t="str">
        <f t="shared" ref="I3:I34" si="0">"地处："&amp;M3&amp;"，接管年限："&amp;L3&amp;"，近两年治安事件："&amp;O3</f>
        <v>地处：主城区，接管年限：10，近两年治安事件：无</v>
      </c>
      <c r="J3" s="5">
        <v>104.168124</v>
      </c>
      <c r="K3" s="5">
        <v>30.644582</v>
      </c>
      <c r="L3" s="2">
        <v>10</v>
      </c>
      <c r="M3" s="4" t="s">
        <v>341</v>
      </c>
      <c r="N3" s="4" t="s">
        <v>343</v>
      </c>
      <c r="O3" s="6" t="s">
        <v>332</v>
      </c>
    </row>
    <row r="4" ht="35" spans="1:15">
      <c r="A4" s="2" t="s">
        <v>31</v>
      </c>
      <c r="B4" s="2" t="s">
        <v>15</v>
      </c>
      <c r="C4" s="2" t="s">
        <v>32</v>
      </c>
      <c r="D4" s="2" t="s">
        <v>17</v>
      </c>
      <c r="E4" s="2" t="s">
        <v>18</v>
      </c>
      <c r="F4" s="2" t="s">
        <v>19</v>
      </c>
      <c r="G4" s="2" t="s">
        <v>20</v>
      </c>
      <c r="H4" s="3" t="str">
        <f>_xlfn.LET(_xlpm.年限分,IF(L4&lt;=6,1,IF(L4&lt;=12,2,IF(L4&lt;=18,3,4))),_xlpm.区域分,IF(M4="郊区",2,1),_xlpm.总分,_xlpm.年限分+_xlpm.区域分,IF(_xlpm.总分&lt;=3,"低风险",IF(_xlpm.总分=4,"中风险","高风险")))</f>
        <v>低风险</v>
      </c>
      <c r="I4" s="3" t="str">
        <f t="shared" si="0"/>
        <v>地处：主城区，接管年限：9，近两年治安事件：无</v>
      </c>
      <c r="J4" s="5">
        <v>104.15273</v>
      </c>
      <c r="K4" s="5">
        <v>30.630772</v>
      </c>
      <c r="L4" s="2">
        <v>9</v>
      </c>
      <c r="M4" s="4" t="s">
        <v>341</v>
      </c>
      <c r="N4" s="4" t="s">
        <v>344</v>
      </c>
      <c r="O4" s="6" t="s">
        <v>332</v>
      </c>
    </row>
    <row r="5" ht="35" spans="1:15">
      <c r="A5" s="2" t="s">
        <v>35</v>
      </c>
      <c r="B5" s="2" t="s">
        <v>36</v>
      </c>
      <c r="C5" s="2" t="s">
        <v>37</v>
      </c>
      <c r="D5" s="2" t="s">
        <v>17</v>
      </c>
      <c r="E5" s="2" t="s">
        <v>18</v>
      </c>
      <c r="F5" s="2" t="s">
        <v>19</v>
      </c>
      <c r="G5" s="2" t="s">
        <v>38</v>
      </c>
      <c r="H5" s="3" t="str">
        <f>_xlfn.LET(_xlpm.年限分,IF(L5&lt;=6,1,IF(L5&lt;=12,2,IF(L5&lt;=18,3,4))),_xlpm.区域分,IF(M5="郊区",2,1),_xlpm.总分,_xlpm.年限分+_xlpm.区域分,IF(_xlpm.总分&lt;=3,"低风险",IF(_xlpm.总分=4,"中风险","高风险")))</f>
        <v>高风险</v>
      </c>
      <c r="I5" s="3" t="str">
        <f t="shared" si="0"/>
        <v>地处：主城区，接管年限：24，近两年治安事件：无</v>
      </c>
      <c r="J5" s="5">
        <v>104.116187</v>
      </c>
      <c r="K5" s="5">
        <v>30.61335</v>
      </c>
      <c r="L5" s="2">
        <v>24</v>
      </c>
      <c r="M5" s="4" t="s">
        <v>341</v>
      </c>
      <c r="N5" s="4" t="s">
        <v>345</v>
      </c>
      <c r="O5" s="6" t="s">
        <v>332</v>
      </c>
    </row>
    <row r="6" ht="35" spans="1:15">
      <c r="A6" s="2" t="s">
        <v>41</v>
      </c>
      <c r="B6" s="2" t="s">
        <v>36</v>
      </c>
      <c r="C6" s="2" t="s">
        <v>42</v>
      </c>
      <c r="D6" s="2" t="s">
        <v>17</v>
      </c>
      <c r="E6" s="2" t="s">
        <v>18</v>
      </c>
      <c r="F6" s="2" t="s">
        <v>19</v>
      </c>
      <c r="G6" s="2" t="s">
        <v>38</v>
      </c>
      <c r="H6" s="3" t="str">
        <f>_xlfn.LET(_xlpm.年限分,IF(L6&lt;=6,1,IF(L6&lt;=12,2,IF(L6&lt;=18,3,4))),_xlpm.区域分,IF(M6="郊区",2,1),_xlpm.总分,_xlpm.年限分+_xlpm.区域分,IF(_xlpm.总分&lt;=3,"低风险",IF(_xlpm.总分=4,"中风险","高风险")))</f>
        <v>中风险</v>
      </c>
      <c r="I6" s="3" t="str">
        <f t="shared" si="0"/>
        <v>地处：主城区，接管年限：14，近两年治安事件：无</v>
      </c>
      <c r="J6" s="5">
        <v>104.118947</v>
      </c>
      <c r="K6" s="5">
        <v>30.62192</v>
      </c>
      <c r="L6" s="2">
        <v>14</v>
      </c>
      <c r="M6" s="4" t="s">
        <v>341</v>
      </c>
      <c r="N6" s="4" t="s">
        <v>346</v>
      </c>
      <c r="O6" s="6" t="s">
        <v>332</v>
      </c>
    </row>
    <row r="7" ht="35" spans="1:15">
      <c r="A7" s="2" t="s">
        <v>44</v>
      </c>
      <c r="B7" s="2" t="s">
        <v>36</v>
      </c>
      <c r="C7" s="2" t="s">
        <v>45</v>
      </c>
      <c r="D7" s="2" t="s">
        <v>17</v>
      </c>
      <c r="E7" s="2" t="s">
        <v>18</v>
      </c>
      <c r="F7" s="2" t="s">
        <v>19</v>
      </c>
      <c r="G7" s="2" t="s">
        <v>38</v>
      </c>
      <c r="H7" s="3" t="str">
        <f>_xlfn.LET(_xlpm.年限分,IF(L7&lt;=6,1,IF(L7&lt;=12,2,IF(L7&lt;=18,3,4))),_xlpm.区域分,IF(M7="郊区",2,1),_xlpm.总分,_xlpm.年限分+_xlpm.区域分,IF(_xlpm.总分&lt;=3,"低风险",IF(_xlpm.总分=4,"中风险","高风险")))</f>
        <v>低风险</v>
      </c>
      <c r="I7" s="3" t="str">
        <f t="shared" si="0"/>
        <v>地处：主城区，接管年限：8，近两年治安事件：无</v>
      </c>
      <c r="J7" s="5">
        <v>104.125215</v>
      </c>
      <c r="K7" s="5">
        <v>30.595431</v>
      </c>
      <c r="L7" s="2">
        <v>8</v>
      </c>
      <c r="M7" s="4" t="s">
        <v>341</v>
      </c>
      <c r="N7" s="4" t="s">
        <v>347</v>
      </c>
      <c r="O7" s="6" t="s">
        <v>332</v>
      </c>
    </row>
    <row r="8" ht="35" spans="1:15">
      <c r="A8" s="2" t="s">
        <v>46</v>
      </c>
      <c r="B8" s="2" t="s">
        <v>36</v>
      </c>
      <c r="C8" s="2" t="s">
        <v>47</v>
      </c>
      <c r="D8" s="2" t="s">
        <v>17</v>
      </c>
      <c r="E8" s="2" t="s">
        <v>18</v>
      </c>
      <c r="F8" s="2" t="s">
        <v>19</v>
      </c>
      <c r="G8" s="2" t="s">
        <v>48</v>
      </c>
      <c r="H8" s="3" t="str">
        <f>_xlfn.LET(_xlpm.年限分,IF(L8&lt;=6,1,IF(L8&lt;=12,2,IF(L8&lt;=18,3,4))),_xlpm.区域分,IF(M8="郊区",2,1),_xlpm.总分,_xlpm.年限分+_xlpm.区域分,IF(_xlpm.总分&lt;=3,"低风险",IF(_xlpm.总分=4,"中风险","高风险")))</f>
        <v>低风险</v>
      </c>
      <c r="I8" s="3" t="str">
        <f t="shared" si="0"/>
        <v>地处：主城区，接管年限：8，近两年治安事件：无</v>
      </c>
      <c r="J8" s="5">
        <v>104.137369</v>
      </c>
      <c r="K8" s="5">
        <v>30.597466</v>
      </c>
      <c r="L8" s="2">
        <v>8</v>
      </c>
      <c r="M8" s="4" t="s">
        <v>341</v>
      </c>
      <c r="N8" s="4" t="s">
        <v>348</v>
      </c>
      <c r="O8" s="6" t="s">
        <v>332</v>
      </c>
    </row>
    <row r="9" ht="35" spans="1:15">
      <c r="A9" s="2" t="s">
        <v>49</v>
      </c>
      <c r="B9" s="2" t="s">
        <v>36</v>
      </c>
      <c r="C9" s="2" t="s">
        <v>50</v>
      </c>
      <c r="D9" s="2" t="s">
        <v>17</v>
      </c>
      <c r="E9" s="2" t="s">
        <v>18</v>
      </c>
      <c r="F9" s="2" t="s">
        <v>19</v>
      </c>
      <c r="G9" s="2" t="s">
        <v>48</v>
      </c>
      <c r="H9" s="3" t="str">
        <f>_xlfn.LET(_xlpm.年限分,IF(L9&lt;=6,1,IF(L9&lt;=12,2,IF(L9&lt;=18,3,4))),_xlpm.区域分,IF(M9="郊区",2,1),_xlpm.总分,_xlpm.年限分+_xlpm.区域分,IF(_xlpm.总分&lt;=3,"低风险",IF(_xlpm.总分=4,"中风险","高风险")))</f>
        <v>低风险</v>
      </c>
      <c r="I9" s="3" t="str">
        <f t="shared" si="0"/>
        <v>地处：主城区，接管年限：8，近两年治安事件：无</v>
      </c>
      <c r="J9" s="5">
        <v>104.129428</v>
      </c>
      <c r="K9" s="5">
        <v>30.600074</v>
      </c>
      <c r="L9" s="2">
        <v>8</v>
      </c>
      <c r="M9" s="4" t="s">
        <v>341</v>
      </c>
      <c r="N9" s="4" t="s">
        <v>349</v>
      </c>
      <c r="O9" s="6" t="s">
        <v>332</v>
      </c>
    </row>
    <row r="10" ht="35" spans="1:15">
      <c r="A10" s="2" t="s">
        <v>51</v>
      </c>
      <c r="B10" s="2" t="s">
        <v>36</v>
      </c>
      <c r="C10" s="2" t="s">
        <v>47</v>
      </c>
      <c r="D10" s="2" t="s">
        <v>17</v>
      </c>
      <c r="E10" s="2" t="s">
        <v>18</v>
      </c>
      <c r="F10" s="2" t="s">
        <v>19</v>
      </c>
      <c r="G10" s="2" t="s">
        <v>48</v>
      </c>
      <c r="H10" s="3" t="str">
        <f>_xlfn.LET(_xlpm.年限分,IF(L10&lt;=6,1,IF(L10&lt;=12,2,IF(L10&lt;=18,3,4))),_xlpm.区域分,IF(M10="郊区",2,1),_xlpm.总分,_xlpm.年限分+_xlpm.区域分,IF(_xlpm.总分&lt;=3,"低风险",IF(_xlpm.总分=4,"中风险","高风险")))</f>
        <v>低风险</v>
      </c>
      <c r="I10" s="3" t="str">
        <f t="shared" si="0"/>
        <v>地处：主城区，接管年限：8，近两年治安事件：无</v>
      </c>
      <c r="J10" s="5">
        <v>104.131172</v>
      </c>
      <c r="K10" s="5">
        <v>30.598592</v>
      </c>
      <c r="L10" s="2">
        <v>8</v>
      </c>
      <c r="M10" s="4" t="s">
        <v>341</v>
      </c>
      <c r="N10" s="4" t="s">
        <v>350</v>
      </c>
      <c r="O10" s="6" t="s">
        <v>332</v>
      </c>
    </row>
    <row r="11" ht="35" spans="1:15">
      <c r="A11" s="2" t="s">
        <v>52</v>
      </c>
      <c r="B11" s="2" t="s">
        <v>36</v>
      </c>
      <c r="C11" s="2" t="s">
        <v>53</v>
      </c>
      <c r="D11" s="2" t="s">
        <v>17</v>
      </c>
      <c r="E11" s="2" t="s">
        <v>18</v>
      </c>
      <c r="F11" s="2" t="s">
        <v>19</v>
      </c>
      <c r="G11" s="2" t="s">
        <v>38</v>
      </c>
      <c r="H11" s="3" t="str">
        <f>_xlfn.LET(_xlpm.年限分,IF(L11&lt;=6,1,IF(L11&lt;=12,2,IF(L11&lt;=18,3,4))),_xlpm.区域分,IF(M11="郊区",2,1),_xlpm.总分,_xlpm.年限分+_xlpm.区域分,IF(_xlpm.总分&lt;=3,"低风险",IF(_xlpm.总分=4,"中风险","高风险")))</f>
        <v>低风险</v>
      </c>
      <c r="I11" s="3" t="str">
        <f t="shared" si="0"/>
        <v>地处：主城区，接管年限：6，近两年治安事件：无</v>
      </c>
      <c r="J11" s="5">
        <v>104.12322</v>
      </c>
      <c r="K11" s="5">
        <v>30.604766</v>
      </c>
      <c r="L11" s="2">
        <v>6</v>
      </c>
      <c r="M11" s="4" t="s">
        <v>341</v>
      </c>
      <c r="N11" s="4" t="s">
        <v>351</v>
      </c>
      <c r="O11" s="6" t="s">
        <v>332</v>
      </c>
    </row>
    <row r="12" ht="35" spans="1:15">
      <c r="A12" s="2" t="s">
        <v>57</v>
      </c>
      <c r="B12" s="2" t="s">
        <v>36</v>
      </c>
      <c r="C12" s="2" t="s">
        <v>58</v>
      </c>
      <c r="D12" s="2" t="s">
        <v>17</v>
      </c>
      <c r="E12" s="2" t="s">
        <v>18</v>
      </c>
      <c r="F12" s="2" t="s">
        <v>19</v>
      </c>
      <c r="G12" s="2" t="s">
        <v>38</v>
      </c>
      <c r="H12" s="3" t="str">
        <f>_xlfn.LET(_xlpm.年限分,IF(L12&lt;=6,1,IF(L12&lt;=12,2,IF(L12&lt;=18,3,4))),_xlpm.区域分,IF(M12="郊区",2,1),_xlpm.总分,_xlpm.年限分+_xlpm.区域分,IF(_xlpm.总分&lt;=3,"低风险",IF(_xlpm.总分=4,"中风险","高风险")))</f>
        <v>中风险</v>
      </c>
      <c r="I12" s="3" t="str">
        <f t="shared" si="0"/>
        <v>地处：主城区，接管年限：15，近两年治安事件：无</v>
      </c>
      <c r="J12" s="5">
        <v>104.0831</v>
      </c>
      <c r="K12" s="5">
        <v>30.612397</v>
      </c>
      <c r="L12" s="2">
        <v>15</v>
      </c>
      <c r="M12" s="4" t="s">
        <v>341</v>
      </c>
      <c r="N12" s="4" t="s">
        <v>352</v>
      </c>
      <c r="O12" s="6" t="s">
        <v>332</v>
      </c>
    </row>
    <row r="13" ht="35" spans="1:1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18</v>
      </c>
      <c r="F13" s="2" t="s">
        <v>63</v>
      </c>
      <c r="G13" s="2" t="s">
        <v>64</v>
      </c>
      <c r="H13" s="3" t="str">
        <f>_xlfn.LET(_xlpm.年限分,IF(L13&lt;=6,1,IF(L13&lt;=12,2,IF(L13&lt;=18,3,4))),_xlpm.区域分,IF(M13="郊区",2,1),_xlpm.总分,_xlpm.年限分+_xlpm.区域分,IF(_xlpm.总分&lt;=3,"低风险",IF(_xlpm.总分=4,"中风险","高风险")))</f>
        <v>中风险</v>
      </c>
      <c r="I13" s="3" t="str">
        <f t="shared" si="0"/>
        <v>地处：主城区，接管年限：14，近两年治安事件：无</v>
      </c>
      <c r="J13" s="5">
        <v>103.963709</v>
      </c>
      <c r="K13" s="5">
        <v>30.668173</v>
      </c>
      <c r="L13" s="2">
        <v>14</v>
      </c>
      <c r="M13" s="4" t="s">
        <v>341</v>
      </c>
      <c r="N13" s="4" t="s">
        <v>353</v>
      </c>
      <c r="O13" s="6" t="s">
        <v>332</v>
      </c>
    </row>
    <row r="14" ht="35" spans="1:15">
      <c r="A14" s="2" t="s">
        <v>67</v>
      </c>
      <c r="B14" s="2" t="s">
        <v>60</v>
      </c>
      <c r="C14" s="2" t="s">
        <v>68</v>
      </c>
      <c r="D14" s="2" t="s">
        <v>62</v>
      </c>
      <c r="E14" s="2" t="s">
        <v>18</v>
      </c>
      <c r="F14" s="2" t="s">
        <v>63</v>
      </c>
      <c r="G14" s="2" t="s">
        <v>64</v>
      </c>
      <c r="H14" s="3" t="str">
        <f>_xlfn.LET(_xlpm.年限分,IF(L14&lt;=6,1,IF(L14&lt;=12,2,IF(L14&lt;=18,3,4))),_xlpm.区域分,IF(M14="郊区",2,1),_xlpm.总分,_xlpm.年限分+_xlpm.区域分,IF(_xlpm.总分&lt;=3,"低风险",IF(_xlpm.总分=4,"中风险","高风险")))</f>
        <v>低风险</v>
      </c>
      <c r="I14" s="3" t="str">
        <f t="shared" si="0"/>
        <v>地处：主城区，接管年限：7，近两年治安事件：无</v>
      </c>
      <c r="J14" s="5">
        <v>104</v>
      </c>
      <c r="K14" s="5">
        <v>30.68</v>
      </c>
      <c r="L14" s="2">
        <v>7</v>
      </c>
      <c r="M14" s="4" t="s">
        <v>341</v>
      </c>
      <c r="N14" s="4" t="s">
        <v>354</v>
      </c>
      <c r="O14" s="6" t="s">
        <v>332</v>
      </c>
    </row>
    <row r="15" ht="35" spans="1:15">
      <c r="A15" s="2" t="s">
        <v>69</v>
      </c>
      <c r="B15" s="2" t="s">
        <v>60</v>
      </c>
      <c r="C15" s="2" t="s">
        <v>70</v>
      </c>
      <c r="D15" s="2" t="s">
        <v>62</v>
      </c>
      <c r="E15" s="2" t="s">
        <v>18</v>
      </c>
      <c r="F15" s="2" t="s">
        <v>63</v>
      </c>
      <c r="G15" s="2" t="s">
        <v>64</v>
      </c>
      <c r="H15" s="3" t="str">
        <f>_xlfn.LET(_xlpm.年限分,IF(L15&lt;=6,1,IF(L15&lt;=12,2,IF(L15&lt;=18,3,4))),_xlpm.区域分,IF(M15="郊区",2,1),_xlpm.总分,_xlpm.年限分+_xlpm.区域分,IF(_xlpm.总分&lt;=3,"低风险",IF(_xlpm.总分=4,"中风险","高风险")))</f>
        <v>低风险</v>
      </c>
      <c r="I15" s="3" t="str">
        <f t="shared" si="0"/>
        <v>地处：主城区，接管年限：4，近两年治安事件：无</v>
      </c>
      <c r="J15" s="5">
        <v>103.999062</v>
      </c>
      <c r="K15" s="5">
        <v>30.67723</v>
      </c>
      <c r="L15" s="2">
        <v>4</v>
      </c>
      <c r="M15" s="4" t="s">
        <v>341</v>
      </c>
      <c r="N15" s="4" t="s">
        <v>355</v>
      </c>
      <c r="O15" s="6" t="s">
        <v>332</v>
      </c>
    </row>
    <row r="16" ht="35" spans="1:15">
      <c r="A16" s="2" t="s">
        <v>71</v>
      </c>
      <c r="B16" s="2" t="s">
        <v>60</v>
      </c>
      <c r="C16" s="2" t="s">
        <v>72</v>
      </c>
      <c r="D16" s="2" t="s">
        <v>62</v>
      </c>
      <c r="E16" s="2" t="s">
        <v>18</v>
      </c>
      <c r="F16" s="2" t="s">
        <v>63</v>
      </c>
      <c r="G16" s="2" t="s">
        <v>64</v>
      </c>
      <c r="H16" s="3" t="str">
        <f>_xlfn.LET(_xlpm.年限分,IF(L16&lt;=6,1,IF(L16&lt;=12,2,IF(L16&lt;=18,3,4))),_xlpm.区域分,IF(M16="郊区",2,1),_xlpm.总分,_xlpm.年限分+_xlpm.区域分,IF(_xlpm.总分&lt;=3,"低风险",IF(_xlpm.总分=4,"中风险","高风险")))</f>
        <v>低风险</v>
      </c>
      <c r="I16" s="3" t="str">
        <f t="shared" si="0"/>
        <v>地处：主城区，接管年限：9，近两年治安事件：无</v>
      </c>
      <c r="J16" s="5">
        <v>103.978693</v>
      </c>
      <c r="K16" s="5">
        <v>30.670724</v>
      </c>
      <c r="L16" s="2">
        <v>9</v>
      </c>
      <c r="M16" s="4" t="s">
        <v>341</v>
      </c>
      <c r="N16" s="4" t="s">
        <v>356</v>
      </c>
      <c r="O16" s="6" t="s">
        <v>332</v>
      </c>
    </row>
    <row r="17" ht="35" spans="1:15">
      <c r="A17" s="2" t="s">
        <v>73</v>
      </c>
      <c r="B17" s="2" t="s">
        <v>74</v>
      </c>
      <c r="C17" s="2" t="s">
        <v>75</v>
      </c>
      <c r="D17" s="2" t="s">
        <v>62</v>
      </c>
      <c r="E17" s="2" t="s">
        <v>18</v>
      </c>
      <c r="F17" s="2" t="s">
        <v>63</v>
      </c>
      <c r="G17" s="2" t="s">
        <v>76</v>
      </c>
      <c r="H17" s="3" t="str">
        <f>_xlfn.LET(_xlpm.年限分,IF(L17&lt;=6,1,IF(L17&lt;=12,2,IF(L17&lt;=18,3,4))),_xlpm.区域分,IF(M17="郊区",2,1),_xlpm.总分,_xlpm.年限分+_xlpm.区域分,IF(_xlpm.总分&lt;=3,"低风险",IF(_xlpm.总分=4,"中风险","高风险")))</f>
        <v>中风险</v>
      </c>
      <c r="I17" s="3" t="str">
        <f t="shared" si="0"/>
        <v>地处：郊区，接管年限：8，近两年治安事件：无</v>
      </c>
      <c r="J17" s="5">
        <v>103.973103</v>
      </c>
      <c r="K17" s="5">
        <v>30.754699</v>
      </c>
      <c r="L17" s="2">
        <v>8</v>
      </c>
      <c r="M17" s="4" t="s">
        <v>357</v>
      </c>
      <c r="N17" s="4" t="s">
        <v>358</v>
      </c>
      <c r="O17" s="6" t="s">
        <v>332</v>
      </c>
    </row>
    <row r="18" ht="35" spans="1:15">
      <c r="A18" s="2" t="s">
        <v>77</v>
      </c>
      <c r="B18" s="2" t="s">
        <v>74</v>
      </c>
      <c r="C18" s="2" t="s">
        <v>78</v>
      </c>
      <c r="D18" s="2" t="s">
        <v>62</v>
      </c>
      <c r="E18" s="2" t="s">
        <v>18</v>
      </c>
      <c r="F18" s="2" t="s">
        <v>63</v>
      </c>
      <c r="G18" s="2" t="s">
        <v>76</v>
      </c>
      <c r="H18" s="3" t="str">
        <f>_xlfn.LET(_xlpm.年限分,IF(L18&lt;=6,1,IF(L18&lt;=12,2,IF(L18&lt;=18,3,4))),_xlpm.区域分,IF(M18="郊区",2,1),_xlpm.总分,_xlpm.年限分+_xlpm.区域分,IF(_xlpm.总分&lt;=3,"低风险",IF(_xlpm.总分=4,"中风险","高风险")))</f>
        <v>低风险</v>
      </c>
      <c r="I18" s="3" t="str">
        <f t="shared" si="0"/>
        <v>地处：郊区，接管年限：5，近两年治安事件：无</v>
      </c>
      <c r="J18" s="5">
        <v>103.969346</v>
      </c>
      <c r="K18" s="5">
        <v>30.767264</v>
      </c>
      <c r="L18" s="2">
        <v>5</v>
      </c>
      <c r="M18" s="4" t="s">
        <v>357</v>
      </c>
      <c r="N18" s="4" t="s">
        <v>359</v>
      </c>
      <c r="O18" s="6" t="s">
        <v>332</v>
      </c>
    </row>
    <row r="19" ht="35" spans="1:15">
      <c r="A19" s="2" t="s">
        <v>79</v>
      </c>
      <c r="B19" s="2" t="s">
        <v>80</v>
      </c>
      <c r="C19" s="2" t="s">
        <v>81</v>
      </c>
      <c r="D19" s="2" t="s">
        <v>62</v>
      </c>
      <c r="E19" s="2" t="s">
        <v>18</v>
      </c>
      <c r="F19" s="2" t="s">
        <v>63</v>
      </c>
      <c r="G19" s="2" t="s">
        <v>76</v>
      </c>
      <c r="H19" s="3" t="str">
        <f>_xlfn.LET(_xlpm.年限分,IF(L19&lt;=6,1,IF(L19&lt;=12,2,IF(L19&lt;=18,3,4))),_xlpm.区域分,IF(M19="郊区",2,1),_xlpm.总分,_xlpm.年限分+_xlpm.区域分,IF(_xlpm.总分&lt;=3,"低风险",IF(_xlpm.总分=4,"中风险","高风险")))</f>
        <v>低风险</v>
      </c>
      <c r="I19" s="3" t="str">
        <f t="shared" si="0"/>
        <v>地处：郊区，接管年限：3，近两年治安事件：无</v>
      </c>
      <c r="J19" s="5">
        <v>103.981534</v>
      </c>
      <c r="K19" s="5">
        <v>30.748172</v>
      </c>
      <c r="L19" s="2">
        <v>3</v>
      </c>
      <c r="M19" s="4" t="s">
        <v>357</v>
      </c>
      <c r="N19" s="4" t="s">
        <v>360</v>
      </c>
      <c r="O19" s="6" t="s">
        <v>332</v>
      </c>
    </row>
    <row r="20" ht="35" spans="1:1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88</v>
      </c>
      <c r="H20" s="3" t="str">
        <f>_xlfn.LET(_xlpm.年限分,IF(L20&lt;=6,1,IF(L20&lt;=12,2,IF(L20&lt;=18,3,4))),_xlpm.区域分,IF(M20="郊区",2,1),_xlpm.总分,_xlpm.年限分+_xlpm.区域分,IF(_xlpm.总分&lt;=3,"低风险",IF(_xlpm.总分=4,"中风险","高风险")))</f>
        <v>低风险</v>
      </c>
      <c r="I20" s="3" t="str">
        <f t="shared" si="0"/>
        <v>地处：主城区，接管年限：10，近两年治安事件：无</v>
      </c>
      <c r="J20" s="5">
        <v>104.036866</v>
      </c>
      <c r="K20" s="5">
        <v>30.551042</v>
      </c>
      <c r="L20" s="2">
        <v>10</v>
      </c>
      <c r="M20" s="4" t="s">
        <v>341</v>
      </c>
      <c r="N20" s="4" t="s">
        <v>361</v>
      </c>
      <c r="O20" s="6" t="s">
        <v>332</v>
      </c>
    </row>
    <row r="21" ht="35" spans="1:15">
      <c r="A21" s="2" t="s">
        <v>89</v>
      </c>
      <c r="B21" s="2" t="s">
        <v>83</v>
      </c>
      <c r="C21" s="2" t="s">
        <v>90</v>
      </c>
      <c r="D21" s="2" t="s">
        <v>85</v>
      </c>
      <c r="E21" s="2" t="s">
        <v>86</v>
      </c>
      <c r="F21" s="2" t="s">
        <v>87</v>
      </c>
      <c r="G21" s="2" t="s">
        <v>88</v>
      </c>
      <c r="H21" s="3" t="str">
        <f>_xlfn.LET(_xlpm.年限分,IF(L21&lt;=6,1,IF(L21&lt;=12,2,IF(L21&lt;=18,3,4))),_xlpm.区域分,IF(M21="郊区",2,1),_xlpm.总分,_xlpm.年限分+_xlpm.区域分,IF(_xlpm.总分&lt;=3,"低风险",IF(_xlpm.总分=4,"中风险","高风险")))</f>
        <v>低风险</v>
      </c>
      <c r="I21" s="3" t="str">
        <f t="shared" si="0"/>
        <v>地处：主城区，接管年限：10，近两年治安事件：无</v>
      </c>
      <c r="J21" s="5">
        <v>104.046031</v>
      </c>
      <c r="K21" s="5">
        <v>30.548293</v>
      </c>
      <c r="L21" s="2">
        <v>10</v>
      </c>
      <c r="M21" s="4" t="s">
        <v>341</v>
      </c>
      <c r="N21" s="4" t="s">
        <v>362</v>
      </c>
      <c r="O21" s="6" t="s">
        <v>332</v>
      </c>
    </row>
    <row r="22" ht="35" spans="1:15">
      <c r="A22" s="2" t="s">
        <v>91</v>
      </c>
      <c r="B22" s="2" t="s">
        <v>83</v>
      </c>
      <c r="C22" s="2" t="s">
        <v>92</v>
      </c>
      <c r="D22" s="2" t="s">
        <v>85</v>
      </c>
      <c r="E22" s="2" t="s">
        <v>86</v>
      </c>
      <c r="F22" s="2" t="s">
        <v>87</v>
      </c>
      <c r="G22" s="2" t="s">
        <v>88</v>
      </c>
      <c r="H22" s="3" t="str">
        <f>_xlfn.LET(_xlpm.年限分,IF(L22&lt;=6,1,IF(L22&lt;=12,2,IF(L22&lt;=18,3,4))),_xlpm.区域分,IF(M22="郊区",2,1),_xlpm.总分,_xlpm.年限分+_xlpm.区域分,IF(_xlpm.总分&lt;=3,"低风险",IF(_xlpm.总分=4,"中风险","高风险")))</f>
        <v>低风险</v>
      </c>
      <c r="I22" s="3" t="str">
        <f t="shared" si="0"/>
        <v>地处：主城区，接管年限：7，近两年治安事件：无</v>
      </c>
      <c r="J22" s="5">
        <v>104.043134</v>
      </c>
      <c r="K22" s="5">
        <v>30.54252</v>
      </c>
      <c r="L22" s="2">
        <v>7</v>
      </c>
      <c r="M22" s="4" t="s">
        <v>341</v>
      </c>
      <c r="N22" s="4" t="s">
        <v>363</v>
      </c>
      <c r="O22" s="6" t="s">
        <v>332</v>
      </c>
    </row>
    <row r="23" ht="35" spans="1:15">
      <c r="A23" s="2" t="s">
        <v>93</v>
      </c>
      <c r="B23" s="2" t="s">
        <v>83</v>
      </c>
      <c r="C23" s="2" t="s">
        <v>94</v>
      </c>
      <c r="D23" s="2" t="s">
        <v>85</v>
      </c>
      <c r="E23" s="2" t="s">
        <v>86</v>
      </c>
      <c r="F23" s="2" t="s">
        <v>87</v>
      </c>
      <c r="G23" s="2" t="s">
        <v>88</v>
      </c>
      <c r="H23" s="3" t="str">
        <f>_xlfn.LET(_xlpm.年限分,IF(L23&lt;=6,1,IF(L23&lt;=12,2,IF(L23&lt;=18,3,4))),_xlpm.区域分,IF(M23="郊区",2,1),_xlpm.总分,_xlpm.年限分+_xlpm.区域分,IF(_xlpm.总分&lt;=3,"低风险",IF(_xlpm.总分=4,"中风险","高风险")))</f>
        <v>低风险</v>
      </c>
      <c r="I23" s="3" t="str">
        <f t="shared" si="0"/>
        <v>地处：主城区，接管年限：8，近两年治安事件：无</v>
      </c>
      <c r="J23" s="5">
        <v>104.072553</v>
      </c>
      <c r="K23" s="5">
        <v>30.551131</v>
      </c>
      <c r="L23" s="2">
        <v>8</v>
      </c>
      <c r="M23" s="4" t="s">
        <v>341</v>
      </c>
      <c r="N23" s="4" t="s">
        <v>364</v>
      </c>
      <c r="O23" s="6" t="s">
        <v>332</v>
      </c>
    </row>
    <row r="24" ht="35" spans="1:15">
      <c r="A24" s="2" t="s">
        <v>95</v>
      </c>
      <c r="B24" s="2" t="s">
        <v>83</v>
      </c>
      <c r="C24" s="2" t="s">
        <v>94</v>
      </c>
      <c r="D24" s="2" t="s">
        <v>85</v>
      </c>
      <c r="E24" s="2" t="s">
        <v>86</v>
      </c>
      <c r="F24" s="2" t="s">
        <v>87</v>
      </c>
      <c r="G24" s="2" t="s">
        <v>88</v>
      </c>
      <c r="H24" s="3" t="str">
        <f>_xlfn.LET(_xlpm.年限分,IF(L24&lt;=6,1,IF(L24&lt;=12,2,IF(L24&lt;=18,3,4))),_xlpm.区域分,IF(M24="郊区",2,1),_xlpm.总分,_xlpm.年限分+_xlpm.区域分,IF(_xlpm.总分&lt;=3,"低风险",IF(_xlpm.总分=4,"中风险","高风险")))</f>
        <v>低风险</v>
      </c>
      <c r="I24" s="3" t="str">
        <f t="shared" si="0"/>
        <v>地处：主城区，接管年限：8，近两年治安事件：无</v>
      </c>
      <c r="J24" s="5">
        <v>104.072254</v>
      </c>
      <c r="K24" s="5">
        <v>30.547719</v>
      </c>
      <c r="L24" s="2">
        <v>8</v>
      </c>
      <c r="M24" s="4" t="s">
        <v>341</v>
      </c>
      <c r="N24" s="4" t="s">
        <v>365</v>
      </c>
      <c r="O24" s="6" t="s">
        <v>332</v>
      </c>
    </row>
    <row r="25" ht="35" spans="1:15">
      <c r="A25" s="2" t="s">
        <v>96</v>
      </c>
      <c r="B25" s="2" t="s">
        <v>83</v>
      </c>
      <c r="C25" s="2" t="s">
        <v>97</v>
      </c>
      <c r="D25" s="2" t="s">
        <v>85</v>
      </c>
      <c r="E25" s="2" t="s">
        <v>86</v>
      </c>
      <c r="F25" s="2" t="s">
        <v>87</v>
      </c>
      <c r="G25" s="2" t="s">
        <v>88</v>
      </c>
      <c r="H25" s="3" t="str">
        <f>_xlfn.LET(_xlpm.年限分,IF(L25&lt;=6,1,IF(L25&lt;=12,2,IF(L25&lt;=18,3,4))),_xlpm.区域分,IF(M25="郊区",2,1),_xlpm.总分,_xlpm.年限分+_xlpm.区域分,IF(_xlpm.总分&lt;=3,"低风险",IF(_xlpm.总分=4,"中风险","高风险")))</f>
        <v>低风险</v>
      </c>
      <c r="I25" s="3" t="str">
        <f t="shared" si="0"/>
        <v>地处：主城区，接管年限：0，近两年治安事件：无</v>
      </c>
      <c r="J25" s="5">
        <v>104.072566</v>
      </c>
      <c r="K25" s="5">
        <v>30.54616</v>
      </c>
      <c r="L25" s="2">
        <v>0</v>
      </c>
      <c r="M25" s="4" t="s">
        <v>341</v>
      </c>
      <c r="N25" s="4" t="s">
        <v>366</v>
      </c>
      <c r="O25" s="6" t="s">
        <v>332</v>
      </c>
    </row>
    <row r="26" ht="35" spans="1:15">
      <c r="A26" s="2" t="s">
        <v>99</v>
      </c>
      <c r="B26" s="2" t="s">
        <v>83</v>
      </c>
      <c r="C26" s="2" t="s">
        <v>100</v>
      </c>
      <c r="D26" s="2" t="s">
        <v>85</v>
      </c>
      <c r="E26" s="2" t="s">
        <v>86</v>
      </c>
      <c r="F26" s="2" t="s">
        <v>87</v>
      </c>
      <c r="G26" s="2" t="s">
        <v>88</v>
      </c>
      <c r="H26" s="3" t="str">
        <f>_xlfn.LET(_xlpm.年限分,IF(L26&lt;=6,1,IF(L26&lt;=12,2,IF(L26&lt;=18,3,4))),_xlpm.区域分,IF(M26="郊区",2,1),_xlpm.总分,_xlpm.年限分+_xlpm.区域分,IF(_xlpm.总分&lt;=3,"低风险",IF(_xlpm.总分=4,"中风险","高风险")))</f>
        <v>低风险</v>
      </c>
      <c r="I26" s="3" t="str">
        <f t="shared" si="0"/>
        <v>地处：主城区，接管年限：3，近两年治安事件：无</v>
      </c>
      <c r="J26" s="5">
        <v>104.05533</v>
      </c>
      <c r="K26" s="5">
        <v>30.555606</v>
      </c>
      <c r="L26" s="2">
        <v>3</v>
      </c>
      <c r="M26" s="4" t="s">
        <v>341</v>
      </c>
      <c r="N26" s="4" t="s">
        <v>367</v>
      </c>
      <c r="O26" s="6" t="s">
        <v>332</v>
      </c>
    </row>
    <row r="27" ht="35" spans="1:15">
      <c r="A27" s="2" t="s">
        <v>101</v>
      </c>
      <c r="B27" s="2" t="s">
        <v>83</v>
      </c>
      <c r="C27" s="2" t="s">
        <v>102</v>
      </c>
      <c r="D27" s="2" t="s">
        <v>85</v>
      </c>
      <c r="E27" s="2" t="s">
        <v>86</v>
      </c>
      <c r="F27" s="2" t="s">
        <v>87</v>
      </c>
      <c r="G27" s="2" t="s">
        <v>88</v>
      </c>
      <c r="H27" s="3" t="str">
        <f>_xlfn.LET(_xlpm.年限分,IF(L27&lt;=6,1,IF(L27&lt;=12,2,IF(L27&lt;=18,3,4))),_xlpm.区域分,IF(M27="郊区",2,1),_xlpm.总分,_xlpm.年限分+_xlpm.区域分,IF(_xlpm.总分&lt;=3,"低风险",IF(_xlpm.总分=4,"中风险","高风险")))</f>
        <v>低风险</v>
      </c>
      <c r="I27" s="3" t="str">
        <f t="shared" si="0"/>
        <v>地处：主城区，接管年限：3，近两年治安事件：无</v>
      </c>
      <c r="J27" s="5">
        <v>104.072835</v>
      </c>
      <c r="K27" s="5">
        <v>30.530118</v>
      </c>
      <c r="L27" s="2">
        <v>3</v>
      </c>
      <c r="M27" s="4" t="s">
        <v>341</v>
      </c>
      <c r="N27" s="4" t="s">
        <v>368</v>
      </c>
      <c r="O27" s="6" t="s">
        <v>332</v>
      </c>
    </row>
    <row r="28" ht="35" spans="1:15">
      <c r="A28" s="2" t="s">
        <v>103</v>
      </c>
      <c r="B28" s="2" t="s">
        <v>83</v>
      </c>
      <c r="C28" s="2" t="s">
        <v>104</v>
      </c>
      <c r="D28" s="2" t="s">
        <v>85</v>
      </c>
      <c r="E28" s="2" t="s">
        <v>86</v>
      </c>
      <c r="F28" s="2" t="s">
        <v>87</v>
      </c>
      <c r="G28" s="2" t="s">
        <v>88</v>
      </c>
      <c r="H28" s="3" t="str">
        <f>_xlfn.LET(_xlpm.年限分,IF(L28&lt;=6,1,IF(L28&lt;=12,2,IF(L28&lt;=18,3,4))),_xlpm.区域分,IF(M28="郊区",2,1),_xlpm.总分,_xlpm.年限分+_xlpm.区域分,IF(_xlpm.总分&lt;=3,"低风险",IF(_xlpm.总分=4,"中风险","高风险")))</f>
        <v>低风险</v>
      </c>
      <c r="I28" s="3" t="str">
        <f t="shared" si="0"/>
        <v>地处：主城区，接管年限：2，近两年治安事件：无</v>
      </c>
      <c r="J28" s="5">
        <v>104.073963</v>
      </c>
      <c r="K28" s="5">
        <v>30.530771</v>
      </c>
      <c r="L28" s="2">
        <v>2</v>
      </c>
      <c r="M28" s="4" t="s">
        <v>341</v>
      </c>
      <c r="N28" s="4" t="s">
        <v>369</v>
      </c>
      <c r="O28" s="6" t="s">
        <v>332</v>
      </c>
    </row>
    <row r="29" ht="35" spans="1:15">
      <c r="A29" s="2" t="s">
        <v>105</v>
      </c>
      <c r="B29" s="2" t="s">
        <v>83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88</v>
      </c>
      <c r="H29" s="3" t="str">
        <f>_xlfn.LET(_xlpm.年限分,IF(L29&lt;=6,1,IF(L29&lt;=12,2,IF(L29&lt;=18,3,4))),_xlpm.区域分,IF(M29="郊区",2,1),_xlpm.总分,_xlpm.年限分+_xlpm.区域分,IF(_xlpm.总分&lt;=3,"低风险",IF(_xlpm.总分=4,"中风险","高风险")))</f>
        <v>低风险</v>
      </c>
      <c r="I29" s="3" t="str">
        <f t="shared" si="0"/>
        <v>地处：主城区，接管年限：2，近两年治安事件：无</v>
      </c>
      <c r="J29" s="5">
        <v>104.034233</v>
      </c>
      <c r="K29" s="5">
        <v>30.546541</v>
      </c>
      <c r="L29" s="2">
        <v>2</v>
      </c>
      <c r="M29" s="4" t="s">
        <v>341</v>
      </c>
      <c r="N29" s="4" t="s">
        <v>370</v>
      </c>
      <c r="O29" s="6" t="s">
        <v>332</v>
      </c>
    </row>
    <row r="30" ht="35" spans="1:15">
      <c r="A30" s="2" t="s">
        <v>106</v>
      </c>
      <c r="B30" s="2" t="s">
        <v>107</v>
      </c>
      <c r="C30" s="2" t="s">
        <v>108</v>
      </c>
      <c r="D30" s="2" t="s">
        <v>109</v>
      </c>
      <c r="E30" s="2" t="s">
        <v>110</v>
      </c>
      <c r="F30" s="2" t="s">
        <v>111</v>
      </c>
      <c r="G30" s="2" t="s">
        <v>112</v>
      </c>
      <c r="H30" s="3" t="str">
        <f>_xlfn.LET(_xlpm.年限分,IF(L30&lt;=6,1,IF(L30&lt;=12,2,IF(L30&lt;=18,3,4))),_xlpm.区域分,IF(M30="郊区",2,1),_xlpm.总分,_xlpm.年限分+_xlpm.区域分,IF(_xlpm.总分&lt;=3,"低风险",IF(_xlpm.总分=4,"中风险","高风险")))</f>
        <v>低风险</v>
      </c>
      <c r="I30" s="3" t="str">
        <f t="shared" si="0"/>
        <v>地处：主城区，接管年限：4，近两年治安事件：无</v>
      </c>
      <c r="J30" s="5">
        <v>104.185017</v>
      </c>
      <c r="K30" s="5">
        <v>30.579816</v>
      </c>
      <c r="L30" s="2">
        <v>4</v>
      </c>
      <c r="M30" s="4" t="s">
        <v>341</v>
      </c>
      <c r="N30" s="4" t="s">
        <v>371</v>
      </c>
      <c r="O30" s="6" t="s">
        <v>332</v>
      </c>
    </row>
    <row r="31" ht="35" spans="1:15">
      <c r="A31" s="2" t="s">
        <v>113</v>
      </c>
      <c r="B31" s="2" t="s">
        <v>114</v>
      </c>
      <c r="C31" s="2" t="s">
        <v>115</v>
      </c>
      <c r="D31" s="2" t="s">
        <v>116</v>
      </c>
      <c r="E31" s="2" t="s">
        <v>86</v>
      </c>
      <c r="F31" s="2" t="s">
        <v>111</v>
      </c>
      <c r="G31" s="2" t="s">
        <v>117</v>
      </c>
      <c r="H31" s="3" t="str">
        <f>_xlfn.LET(_xlpm.年限分,IF(L31&lt;=6,1,IF(L31&lt;=12,2,IF(L31&lt;=18,3,4))),_xlpm.区域分,IF(M31="郊区",2,1),_xlpm.总分,_xlpm.年限分+_xlpm.区域分,IF(_xlpm.总分&lt;=3,"低风险",IF(_xlpm.总分=4,"中风险","高风险")))</f>
        <v>低风险</v>
      </c>
      <c r="I31" s="3" t="str">
        <f t="shared" si="0"/>
        <v>地处：郊区，接管年限：6，近两年治安事件：无</v>
      </c>
      <c r="J31" s="5">
        <v>104.042843</v>
      </c>
      <c r="K31" s="5">
        <v>30.488072</v>
      </c>
      <c r="L31" s="2">
        <v>6</v>
      </c>
      <c r="M31" s="4" t="s">
        <v>357</v>
      </c>
      <c r="N31" s="4" t="s">
        <v>372</v>
      </c>
      <c r="O31" s="6" t="s">
        <v>332</v>
      </c>
    </row>
    <row r="32" ht="35" spans="1:15">
      <c r="A32" s="2" t="s">
        <v>118</v>
      </c>
      <c r="B32" s="2" t="s">
        <v>114</v>
      </c>
      <c r="C32" s="2" t="s">
        <v>119</v>
      </c>
      <c r="D32" s="2" t="s">
        <v>116</v>
      </c>
      <c r="E32" s="2" t="s">
        <v>86</v>
      </c>
      <c r="F32" s="2" t="s">
        <v>111</v>
      </c>
      <c r="G32" s="2" t="s">
        <v>117</v>
      </c>
      <c r="H32" s="3" t="str">
        <f>_xlfn.LET(_xlpm.年限分,IF(L32&lt;=6,1,IF(L32&lt;=12,2,IF(L32&lt;=18,3,4))),_xlpm.区域分,IF(M32="郊区",2,1),_xlpm.总分,_xlpm.年限分+_xlpm.区域分,IF(_xlpm.总分&lt;=3,"低风险",IF(_xlpm.总分=4,"中风险","高风险")))</f>
        <v>中风险</v>
      </c>
      <c r="I32" s="3" t="str">
        <f t="shared" si="0"/>
        <v>地处：郊区，接管年限：7，近两年治安事件：无</v>
      </c>
      <c r="J32" s="5">
        <v>104.029501</v>
      </c>
      <c r="K32" s="5">
        <v>30.472956</v>
      </c>
      <c r="L32" s="2">
        <v>7</v>
      </c>
      <c r="M32" s="4" t="s">
        <v>357</v>
      </c>
      <c r="N32" s="4" t="s">
        <v>373</v>
      </c>
      <c r="O32" s="6" t="s">
        <v>332</v>
      </c>
    </row>
    <row r="33" ht="35" spans="1:15">
      <c r="A33" s="2" t="s">
        <v>120</v>
      </c>
      <c r="B33" s="2" t="s">
        <v>114</v>
      </c>
      <c r="C33" s="2" t="s">
        <v>121</v>
      </c>
      <c r="D33" s="2" t="s">
        <v>116</v>
      </c>
      <c r="E33" s="2" t="s">
        <v>86</v>
      </c>
      <c r="F33" s="2" t="s">
        <v>111</v>
      </c>
      <c r="G33" s="2" t="s">
        <v>117</v>
      </c>
      <c r="H33" s="3" t="str">
        <f>_xlfn.LET(_xlpm.年限分,IF(L33&lt;=6,1,IF(L33&lt;=12,2,IF(L33&lt;=18,3,4))),_xlpm.区域分,IF(M33="郊区",2,1),_xlpm.总分,_xlpm.年限分+_xlpm.区域分,IF(_xlpm.总分&lt;=3,"低风险",IF(_xlpm.总分=4,"中风险","高风险")))</f>
        <v>低风险</v>
      </c>
      <c r="I33" s="3" t="str">
        <f t="shared" si="0"/>
        <v>地处：郊区，接管年限：5，近两年治安事件：无</v>
      </c>
      <c r="J33" s="5">
        <v>104.03467</v>
      </c>
      <c r="K33" s="5">
        <v>30.475534</v>
      </c>
      <c r="L33" s="2">
        <v>5</v>
      </c>
      <c r="M33" s="4" t="s">
        <v>357</v>
      </c>
      <c r="N33" s="4" t="s">
        <v>374</v>
      </c>
      <c r="O33" s="6" t="s">
        <v>332</v>
      </c>
    </row>
    <row r="34" ht="35" spans="1:15">
      <c r="A34" s="2" t="s">
        <v>122</v>
      </c>
      <c r="B34" s="2" t="s">
        <v>114</v>
      </c>
      <c r="C34" s="2" t="s">
        <v>123</v>
      </c>
      <c r="D34" s="2" t="s">
        <v>116</v>
      </c>
      <c r="E34" s="2" t="s">
        <v>86</v>
      </c>
      <c r="F34" s="2" t="s">
        <v>111</v>
      </c>
      <c r="G34" s="2" t="s">
        <v>117</v>
      </c>
      <c r="H34" s="3" t="str">
        <f>_xlfn.LET(_xlpm.年限分,IF(L34&lt;=6,1,IF(L34&lt;=12,2,IF(L34&lt;=18,3,4))),_xlpm.区域分,IF(M34="郊区",2,1),_xlpm.总分,_xlpm.年限分+_xlpm.区域分,IF(_xlpm.总分&lt;=3,"低风险",IF(_xlpm.总分=4,"中风险","高风险")))</f>
        <v>低风险</v>
      </c>
      <c r="I34" s="3" t="str">
        <f t="shared" si="0"/>
        <v>地处：郊区，接管年限：5，近两年治安事件：无</v>
      </c>
      <c r="J34" s="5">
        <v>104.040831</v>
      </c>
      <c r="K34" s="5">
        <v>30.474456</v>
      </c>
      <c r="L34" s="2">
        <v>5</v>
      </c>
      <c r="M34" s="4" t="s">
        <v>357</v>
      </c>
      <c r="N34" s="4" t="s">
        <v>375</v>
      </c>
      <c r="O34" s="6" t="s">
        <v>332</v>
      </c>
    </row>
    <row r="35" ht="35" spans="1:15">
      <c r="A35" s="2" t="s">
        <v>124</v>
      </c>
      <c r="B35" s="2" t="s">
        <v>114</v>
      </c>
      <c r="C35" s="2" t="s">
        <v>125</v>
      </c>
      <c r="D35" s="2" t="s">
        <v>116</v>
      </c>
      <c r="E35" s="2" t="s">
        <v>86</v>
      </c>
      <c r="F35" s="2" t="s">
        <v>111</v>
      </c>
      <c r="G35" s="2" t="s">
        <v>117</v>
      </c>
      <c r="H35" s="3" t="str">
        <f>_xlfn.LET(_xlpm.年限分,IF(L35&lt;=6,1,IF(L35&lt;=12,2,IF(L35&lt;=18,3,4))),_xlpm.区域分,IF(M35="郊区",2,1),_xlpm.总分,_xlpm.年限分+_xlpm.区域分,IF(_xlpm.总分&lt;=3,"低风险",IF(_xlpm.总分=4,"中风险","高风险")))</f>
        <v>低风险</v>
      </c>
      <c r="I35" s="3" t="str">
        <f t="shared" ref="I35:I66" si="1">"地处："&amp;M35&amp;"，接管年限："&amp;L35&amp;"，近两年治安事件："&amp;O35</f>
        <v>地处：郊区，接管年限：4，近两年治安事件：无</v>
      </c>
      <c r="J35" s="5">
        <v>104</v>
      </c>
      <c r="K35" s="5">
        <v>30.49</v>
      </c>
      <c r="L35" s="2">
        <v>4</v>
      </c>
      <c r="M35" s="4" t="s">
        <v>357</v>
      </c>
      <c r="N35" s="4" t="s">
        <v>376</v>
      </c>
      <c r="O35" s="6" t="s">
        <v>332</v>
      </c>
    </row>
    <row r="36" ht="35" spans="1:15">
      <c r="A36" s="2" t="s">
        <v>126</v>
      </c>
      <c r="B36" s="2" t="s">
        <v>114</v>
      </c>
      <c r="C36" s="2" t="s">
        <v>127</v>
      </c>
      <c r="D36" s="2" t="s">
        <v>116</v>
      </c>
      <c r="E36" s="2" t="s">
        <v>86</v>
      </c>
      <c r="F36" s="2" t="s">
        <v>111</v>
      </c>
      <c r="G36" s="2" t="s">
        <v>117</v>
      </c>
      <c r="H36" s="3" t="str">
        <f>_xlfn.LET(_xlpm.年限分,IF(L36&lt;=6,1,IF(L36&lt;=12,2,IF(L36&lt;=18,3,4))),_xlpm.区域分,IF(M36="郊区",2,1),_xlpm.总分,_xlpm.年限分+_xlpm.区域分,IF(_xlpm.总分&lt;=3,"低风险",IF(_xlpm.总分=4,"中风险","高风险")))</f>
        <v>低风险</v>
      </c>
      <c r="I36" s="3" t="str">
        <f t="shared" si="1"/>
        <v>地处：郊区，接管年限：2，近两年治安事件：无</v>
      </c>
      <c r="J36" s="5">
        <v>104.02387</v>
      </c>
      <c r="K36" s="5">
        <v>30.471761</v>
      </c>
      <c r="L36" s="2">
        <v>2</v>
      </c>
      <c r="M36" s="4" t="s">
        <v>357</v>
      </c>
      <c r="N36" s="4" t="s">
        <v>377</v>
      </c>
      <c r="O36" s="6" t="s">
        <v>332</v>
      </c>
    </row>
    <row r="37" ht="35" spans="1:15">
      <c r="A37" s="2" t="s">
        <v>128</v>
      </c>
      <c r="B37" s="2" t="s">
        <v>114</v>
      </c>
      <c r="C37" s="2" t="s">
        <v>119</v>
      </c>
      <c r="D37" s="2" t="s">
        <v>116</v>
      </c>
      <c r="E37" s="2" t="s">
        <v>86</v>
      </c>
      <c r="F37" s="2" t="s">
        <v>111</v>
      </c>
      <c r="G37" s="2" t="s">
        <v>117</v>
      </c>
      <c r="H37" s="3" t="str">
        <f>_xlfn.LET(_xlpm.年限分,IF(L37&lt;=6,1,IF(L37&lt;=12,2,IF(L37&lt;=18,3,4))),_xlpm.区域分,IF(M37="郊区",2,1),_xlpm.总分,_xlpm.年限分+_xlpm.区域分,IF(_xlpm.总分&lt;=3,"低风险",IF(_xlpm.总分=4,"中风险","高风险")))</f>
        <v>低风险</v>
      </c>
      <c r="I37" s="3" t="str">
        <f t="shared" si="1"/>
        <v>地处：郊区，接管年限：6，近两年治安事件：无</v>
      </c>
      <c r="J37" s="5">
        <v>104.029756</v>
      </c>
      <c r="K37" s="5">
        <v>30.471848</v>
      </c>
      <c r="L37" s="2">
        <v>6</v>
      </c>
      <c r="M37" s="4" t="s">
        <v>357</v>
      </c>
      <c r="N37" s="4" t="s">
        <v>378</v>
      </c>
      <c r="O37" s="6" t="s">
        <v>332</v>
      </c>
    </row>
    <row r="38" ht="35" spans="1:15">
      <c r="A38" s="2" t="s">
        <v>129</v>
      </c>
      <c r="B38" s="2" t="s">
        <v>130</v>
      </c>
      <c r="C38" s="2" t="s">
        <v>131</v>
      </c>
      <c r="D38" s="2" t="s">
        <v>62</v>
      </c>
      <c r="E38" s="2" t="s">
        <v>18</v>
      </c>
      <c r="F38" s="2" t="s">
        <v>63</v>
      </c>
      <c r="G38" s="2" t="s">
        <v>132</v>
      </c>
      <c r="H38" s="3" t="s">
        <v>21</v>
      </c>
      <c r="I38" s="3" t="str">
        <f t="shared" si="1"/>
        <v>地处：郊区，接管年限：9，近两年治安事件：电瓶车电瓶遗失</v>
      </c>
      <c r="J38" s="5">
        <v>103.980773</v>
      </c>
      <c r="K38" s="5">
        <v>30.739783</v>
      </c>
      <c r="L38" s="2">
        <v>9</v>
      </c>
      <c r="M38" s="4" t="s">
        <v>357</v>
      </c>
      <c r="N38" s="4" t="s">
        <v>379</v>
      </c>
      <c r="O38" s="6" t="s">
        <v>380</v>
      </c>
    </row>
    <row r="39" ht="35" spans="1:15">
      <c r="A39" s="2" t="s">
        <v>134</v>
      </c>
      <c r="B39" s="2" t="s">
        <v>130</v>
      </c>
      <c r="C39" s="2" t="s">
        <v>131</v>
      </c>
      <c r="D39" s="2" t="s">
        <v>62</v>
      </c>
      <c r="E39" s="2" t="s">
        <v>18</v>
      </c>
      <c r="F39" s="2" t="s">
        <v>63</v>
      </c>
      <c r="G39" s="2" t="s">
        <v>132</v>
      </c>
      <c r="H39" s="3" t="str">
        <f>_xlfn.LET(_xlpm.年限分,IF(L39&lt;=6,1,IF(L39&lt;=12,2,IF(L39&lt;=18,3,4))),_xlpm.区域分,IF(M39="郊区",2,1),_xlpm.总分,_xlpm.年限分+_xlpm.区域分,IF(_xlpm.总分&lt;=3,"低风险",IF(_xlpm.总分=4,"中风险","高风险")))</f>
        <v>中风险</v>
      </c>
      <c r="I39" s="3" t="str">
        <f t="shared" si="1"/>
        <v>地处：郊区，接管年限：8，近两年治安事件：无</v>
      </c>
      <c r="J39" s="5">
        <v>103.981149</v>
      </c>
      <c r="K39" s="5">
        <v>30.73625</v>
      </c>
      <c r="L39" s="2">
        <v>8</v>
      </c>
      <c r="M39" s="4" t="s">
        <v>357</v>
      </c>
      <c r="N39" s="4" t="s">
        <v>381</v>
      </c>
      <c r="O39" s="6" t="s">
        <v>332</v>
      </c>
    </row>
    <row r="40" ht="35" spans="1:15">
      <c r="A40" s="2" t="s">
        <v>135</v>
      </c>
      <c r="B40" s="2" t="s">
        <v>130</v>
      </c>
      <c r="C40" s="2" t="s">
        <v>136</v>
      </c>
      <c r="D40" s="2" t="s">
        <v>62</v>
      </c>
      <c r="E40" s="2" t="s">
        <v>18</v>
      </c>
      <c r="F40" s="2" t="s">
        <v>63</v>
      </c>
      <c r="G40" s="2" t="s">
        <v>132</v>
      </c>
      <c r="H40" s="3" t="str">
        <f>_xlfn.LET(_xlpm.年限分,IF(L40&lt;=6,1,IF(L40&lt;=12,2,IF(L40&lt;=18,3,4))),_xlpm.区域分,IF(M40="郊区",2,1),_xlpm.总分,_xlpm.年限分+_xlpm.区域分,IF(_xlpm.总分&lt;=3,"低风险",IF(_xlpm.总分=4,"中风险","高风险")))</f>
        <v>中风险</v>
      </c>
      <c r="I40" s="3" t="str">
        <f t="shared" si="1"/>
        <v>地处：郊区，接管年限：7，近两年治安事件：无</v>
      </c>
      <c r="J40" s="5">
        <v>103.975847</v>
      </c>
      <c r="K40" s="5">
        <v>30.75013</v>
      </c>
      <c r="L40" s="2">
        <v>7</v>
      </c>
      <c r="M40" s="4" t="s">
        <v>357</v>
      </c>
      <c r="N40" s="4" t="s">
        <v>382</v>
      </c>
      <c r="O40" s="6" t="s">
        <v>332</v>
      </c>
    </row>
    <row r="41" ht="35" spans="1:15">
      <c r="A41" s="2" t="s">
        <v>137</v>
      </c>
      <c r="B41" s="2" t="s">
        <v>130</v>
      </c>
      <c r="C41" s="2" t="s">
        <v>138</v>
      </c>
      <c r="D41" s="2" t="s">
        <v>62</v>
      </c>
      <c r="E41" s="2" t="s">
        <v>18</v>
      </c>
      <c r="F41" s="2" t="s">
        <v>63</v>
      </c>
      <c r="G41" s="2" t="s">
        <v>132</v>
      </c>
      <c r="H41" s="3" t="str">
        <f>_xlfn.LET(_xlpm.年限分,IF(L41&lt;=6,1,IF(L41&lt;=12,2,IF(L41&lt;=18,3,4))),_xlpm.区域分,IF(M41="郊区",2,1),_xlpm.总分,_xlpm.年限分+_xlpm.区域分,IF(_xlpm.总分&lt;=3,"低风险",IF(_xlpm.总分=4,"中风险","高风险")))</f>
        <v>低风险</v>
      </c>
      <c r="I41" s="3" t="str">
        <f t="shared" si="1"/>
        <v>地处：郊区，接管年限：6，近两年治安事件：无</v>
      </c>
      <c r="J41" s="5">
        <v>103.989047</v>
      </c>
      <c r="K41" s="5">
        <v>30.731995</v>
      </c>
      <c r="L41" s="2">
        <v>6</v>
      </c>
      <c r="M41" s="4" t="s">
        <v>357</v>
      </c>
      <c r="N41" s="4" t="s">
        <v>383</v>
      </c>
      <c r="O41" s="6" t="s">
        <v>332</v>
      </c>
    </row>
    <row r="42" ht="35" spans="1:15">
      <c r="A42" s="2" t="s">
        <v>139</v>
      </c>
      <c r="B42" s="2" t="s">
        <v>130</v>
      </c>
      <c r="C42" s="2" t="s">
        <v>140</v>
      </c>
      <c r="D42" s="2" t="s">
        <v>62</v>
      </c>
      <c r="E42" s="2" t="s">
        <v>18</v>
      </c>
      <c r="F42" s="2" t="s">
        <v>63</v>
      </c>
      <c r="G42" s="2" t="s">
        <v>132</v>
      </c>
      <c r="H42" s="3" t="str">
        <f>_xlfn.LET(_xlpm.年限分,IF(L42&lt;=6,1,IF(L42&lt;=12,2,IF(L42&lt;=18,3,4))),_xlpm.区域分,IF(M42="郊区",2,1),_xlpm.总分,_xlpm.年限分+_xlpm.区域分,IF(_xlpm.总分&lt;=3,"低风险",IF(_xlpm.总分=4,"中风险","高风险")))</f>
        <v>低风险</v>
      </c>
      <c r="I42" s="3" t="str">
        <f t="shared" si="1"/>
        <v>地处：郊区，接管年限：6，近两年治安事件：无</v>
      </c>
      <c r="J42" s="5">
        <v>103.979864</v>
      </c>
      <c r="K42" s="5">
        <v>30.738243</v>
      </c>
      <c r="L42" s="2">
        <v>6</v>
      </c>
      <c r="M42" s="4" t="s">
        <v>357</v>
      </c>
      <c r="N42" s="4" t="s">
        <v>384</v>
      </c>
      <c r="O42" s="6" t="s">
        <v>332</v>
      </c>
    </row>
    <row r="43" ht="35" spans="1:15">
      <c r="A43" s="2" t="s">
        <v>141</v>
      </c>
      <c r="B43" s="2" t="s">
        <v>142</v>
      </c>
      <c r="C43" s="2" t="s">
        <v>143</v>
      </c>
      <c r="D43" s="2" t="s">
        <v>144</v>
      </c>
      <c r="E43" s="2" t="s">
        <v>110</v>
      </c>
      <c r="F43" s="2" t="s">
        <v>111</v>
      </c>
      <c r="G43" s="2" t="s">
        <v>145</v>
      </c>
      <c r="H43" s="3" t="str">
        <f>_xlfn.LET(_xlpm.年限分,IF(L43&lt;=6,1,IF(L43&lt;=12,2,IF(L43&lt;=18,3,4))),_xlpm.区域分,IF(M43="郊区",2,1),_xlpm.总分,_xlpm.年限分+_xlpm.区域分,IF(_xlpm.总分&lt;=3,"低风险",IF(_xlpm.总分=4,"中风险","高风险")))</f>
        <v>高风险</v>
      </c>
      <c r="I43" s="3" t="str">
        <f t="shared" si="1"/>
        <v>地处：郊区，接管年限：19，近两年治安事件：无</v>
      </c>
      <c r="J43" s="5">
        <v>104.149824</v>
      </c>
      <c r="K43" s="5">
        <v>30.78994</v>
      </c>
      <c r="L43" s="2">
        <v>19</v>
      </c>
      <c r="M43" s="4" t="s">
        <v>357</v>
      </c>
      <c r="N43" s="4" t="s">
        <v>385</v>
      </c>
      <c r="O43" s="6" t="s">
        <v>332</v>
      </c>
    </row>
    <row r="44" ht="35" spans="1:15">
      <c r="A44" s="2" t="s">
        <v>148</v>
      </c>
      <c r="B44" s="2" t="s">
        <v>142</v>
      </c>
      <c r="C44" s="2" t="s">
        <v>149</v>
      </c>
      <c r="D44" s="2" t="s">
        <v>144</v>
      </c>
      <c r="E44" s="2" t="s">
        <v>110</v>
      </c>
      <c r="F44" s="2" t="s">
        <v>111</v>
      </c>
      <c r="G44" s="2" t="s">
        <v>145</v>
      </c>
      <c r="H44" s="3" t="str">
        <f>_xlfn.LET(_xlpm.年限分,IF(L44&lt;=6,1,IF(L44&lt;=12,2,IF(L44&lt;=18,3,4))),_xlpm.区域分,IF(M44="郊区",2,1),_xlpm.总分,_xlpm.年限分+_xlpm.区域分,IF(_xlpm.总分&lt;=3,"低风险",IF(_xlpm.总分=4,"中风险","高风险")))</f>
        <v>高风险</v>
      </c>
      <c r="I44" s="3" t="str">
        <f t="shared" si="1"/>
        <v>地处：郊区，接管年限：13，近两年治安事件：无</v>
      </c>
      <c r="J44" s="5">
        <v>104.171379</v>
      </c>
      <c r="K44" s="5">
        <v>30.773076</v>
      </c>
      <c r="L44" s="2">
        <v>13</v>
      </c>
      <c r="M44" s="4" t="s">
        <v>357</v>
      </c>
      <c r="N44" s="4" t="s">
        <v>386</v>
      </c>
      <c r="O44" s="6" t="s">
        <v>332</v>
      </c>
    </row>
    <row r="45" ht="35" spans="1:15">
      <c r="A45" s="2" t="s">
        <v>151</v>
      </c>
      <c r="B45" s="2" t="s">
        <v>142</v>
      </c>
      <c r="C45" s="2" t="s">
        <v>152</v>
      </c>
      <c r="D45" s="2" t="s">
        <v>144</v>
      </c>
      <c r="E45" s="2" t="s">
        <v>110</v>
      </c>
      <c r="F45" s="2" t="s">
        <v>111</v>
      </c>
      <c r="G45" s="2" t="s">
        <v>145</v>
      </c>
      <c r="H45" s="3" t="str">
        <f>_xlfn.LET(_xlpm.年限分,IF(L45&lt;=6,1,IF(L45&lt;=12,2,IF(L45&lt;=18,3,4))),_xlpm.区域分,IF(M45="郊区",2,1),_xlpm.总分,_xlpm.年限分+_xlpm.区域分,IF(_xlpm.总分&lt;=3,"低风险",IF(_xlpm.总分=4,"中风险","高风险")))</f>
        <v>中风险</v>
      </c>
      <c r="I45" s="3" t="str">
        <f t="shared" si="1"/>
        <v>地处：郊区，接管年限：10，近两年治安事件：无</v>
      </c>
      <c r="J45" s="5">
        <v>104.142776</v>
      </c>
      <c r="K45" s="5">
        <v>30.784284</v>
      </c>
      <c r="L45" s="2">
        <v>10</v>
      </c>
      <c r="M45" s="4" t="s">
        <v>357</v>
      </c>
      <c r="N45" s="4" t="s">
        <v>387</v>
      </c>
      <c r="O45" s="6" t="s">
        <v>332</v>
      </c>
    </row>
    <row r="46" ht="35" spans="1:15">
      <c r="A46" s="2" t="s">
        <v>153</v>
      </c>
      <c r="B46" s="2" t="s">
        <v>142</v>
      </c>
      <c r="C46" s="2" t="s">
        <v>154</v>
      </c>
      <c r="D46" s="2" t="s">
        <v>144</v>
      </c>
      <c r="E46" s="2" t="s">
        <v>110</v>
      </c>
      <c r="F46" s="2" t="s">
        <v>111</v>
      </c>
      <c r="G46" s="2" t="s">
        <v>145</v>
      </c>
      <c r="H46" s="3" t="str">
        <f>_xlfn.LET(_xlpm.年限分,IF(L46&lt;=6,1,IF(L46&lt;=12,2,IF(L46&lt;=18,3,4))),_xlpm.区域分,IF(M46="郊区",2,1),_xlpm.总分,_xlpm.年限分+_xlpm.区域分,IF(_xlpm.总分&lt;=3,"低风险",IF(_xlpm.总分=4,"中风险","高风险")))</f>
        <v>中风险</v>
      </c>
      <c r="I46" s="3" t="str">
        <f t="shared" si="1"/>
        <v>地处：郊区，接管年限：9，近两年治安事件：无</v>
      </c>
      <c r="J46" s="5">
        <v>104.159894</v>
      </c>
      <c r="K46" s="5">
        <v>30.774233</v>
      </c>
      <c r="L46" s="2">
        <v>9</v>
      </c>
      <c r="M46" s="4" t="s">
        <v>357</v>
      </c>
      <c r="N46" s="4" t="s">
        <v>388</v>
      </c>
      <c r="O46" s="6" t="s">
        <v>332</v>
      </c>
    </row>
    <row r="47" ht="35" spans="1:15">
      <c r="A47" s="2" t="s">
        <v>155</v>
      </c>
      <c r="B47" s="2" t="s">
        <v>142</v>
      </c>
      <c r="C47" s="2" t="s">
        <v>154</v>
      </c>
      <c r="D47" s="2" t="s">
        <v>144</v>
      </c>
      <c r="E47" s="2" t="s">
        <v>110</v>
      </c>
      <c r="F47" s="2" t="s">
        <v>111</v>
      </c>
      <c r="G47" s="2" t="s">
        <v>145</v>
      </c>
      <c r="H47" s="3" t="str">
        <f>_xlfn.LET(_xlpm.年限分,IF(L47&lt;=6,1,IF(L47&lt;=12,2,IF(L47&lt;=18,3,4))),_xlpm.区域分,IF(M47="郊区",2,1),_xlpm.总分,_xlpm.年限分+_xlpm.区域分,IF(_xlpm.总分&lt;=3,"低风险",IF(_xlpm.总分=4,"中风险","高风险")))</f>
        <v>中风险</v>
      </c>
      <c r="I47" s="3" t="str">
        <f t="shared" si="1"/>
        <v>地处：郊区，接管年限：8，近两年治安事件：无</v>
      </c>
      <c r="J47" s="5">
        <v>104.158593</v>
      </c>
      <c r="K47" s="5">
        <v>30.823568</v>
      </c>
      <c r="L47" s="2">
        <v>8</v>
      </c>
      <c r="M47" s="4" t="s">
        <v>357</v>
      </c>
      <c r="N47" s="4" t="s">
        <v>389</v>
      </c>
      <c r="O47" s="6" t="s">
        <v>332</v>
      </c>
    </row>
    <row r="48" ht="35" spans="1:15">
      <c r="A48" s="2" t="s">
        <v>156</v>
      </c>
      <c r="B48" s="2" t="s">
        <v>142</v>
      </c>
      <c r="C48" s="2" t="s">
        <v>152</v>
      </c>
      <c r="D48" s="2" t="s">
        <v>144</v>
      </c>
      <c r="E48" s="2" t="s">
        <v>110</v>
      </c>
      <c r="F48" s="2" t="s">
        <v>111</v>
      </c>
      <c r="G48" s="2" t="s">
        <v>145</v>
      </c>
      <c r="H48" s="3" t="str">
        <f>_xlfn.LET(_xlpm.年限分,IF(L48&lt;=6,1,IF(L48&lt;=12,2,IF(L48&lt;=18,3,4))),_xlpm.区域分,IF(M48="郊区",2,1),_xlpm.总分,_xlpm.年限分+_xlpm.区域分,IF(_xlpm.总分&lt;=3,"低风险",IF(_xlpm.总分=4,"中风险","高风险")))</f>
        <v>低风险</v>
      </c>
      <c r="I48" s="3" t="str">
        <f t="shared" si="1"/>
        <v>地处：郊区，接管年限：5，近两年治安事件：无</v>
      </c>
      <c r="J48" s="5">
        <v>116.990081</v>
      </c>
      <c r="K48" s="5">
        <v>32.620976</v>
      </c>
      <c r="L48" s="2">
        <v>5</v>
      </c>
      <c r="M48" s="4" t="s">
        <v>357</v>
      </c>
      <c r="N48" s="4" t="s">
        <v>390</v>
      </c>
      <c r="O48" s="6" t="s">
        <v>332</v>
      </c>
    </row>
    <row r="49" ht="35" spans="1:15">
      <c r="A49" s="2" t="s">
        <v>157</v>
      </c>
      <c r="B49" s="2" t="s">
        <v>158</v>
      </c>
      <c r="C49" s="2" t="s">
        <v>159</v>
      </c>
      <c r="D49" s="2" t="s">
        <v>116</v>
      </c>
      <c r="E49" s="2" t="s">
        <v>86</v>
      </c>
      <c r="F49" s="2" t="s">
        <v>111</v>
      </c>
      <c r="G49" s="2" t="s">
        <v>160</v>
      </c>
      <c r="H49" s="3" t="s">
        <v>21</v>
      </c>
      <c r="I49" s="3" t="str">
        <f t="shared" si="1"/>
        <v>地处：郊区，接管年限：8，近两年治安事件：业主家中物品遗失</v>
      </c>
      <c r="J49" s="5">
        <v>103.930089</v>
      </c>
      <c r="K49" s="5">
        <v>30.631003</v>
      </c>
      <c r="L49" s="2">
        <v>8</v>
      </c>
      <c r="M49" s="4" t="s">
        <v>357</v>
      </c>
      <c r="N49" s="4" t="s">
        <v>391</v>
      </c>
      <c r="O49" s="6" t="s">
        <v>392</v>
      </c>
    </row>
    <row r="50" ht="35" spans="1:15">
      <c r="A50" s="2" t="s">
        <v>161</v>
      </c>
      <c r="B50" s="2" t="s">
        <v>158</v>
      </c>
      <c r="C50" s="2" t="s">
        <v>162</v>
      </c>
      <c r="D50" s="2" t="s">
        <v>116</v>
      </c>
      <c r="E50" s="2" t="s">
        <v>86</v>
      </c>
      <c r="F50" s="2" t="s">
        <v>111</v>
      </c>
      <c r="G50" s="2" t="s">
        <v>160</v>
      </c>
      <c r="H50" s="3" t="str">
        <f>_xlfn.LET(_xlpm.年限分,IF(L50&lt;=6,1,IF(L50&lt;=12,2,IF(L50&lt;=18,3,4))),_xlpm.区域分,IF(M50="郊区",2,1),_xlpm.总分,_xlpm.年限分+_xlpm.区域分,IF(_xlpm.总分&lt;=3,"低风险",IF(_xlpm.总分=4,"中风险","高风险")))</f>
        <v>中风险</v>
      </c>
      <c r="I50" s="3" t="str">
        <f t="shared" si="1"/>
        <v>地处：郊区，接管年限：7，近两年治安事件：无</v>
      </c>
      <c r="J50" s="5">
        <v>103.926935</v>
      </c>
      <c r="K50" s="5">
        <v>30.628959</v>
      </c>
      <c r="L50" s="2">
        <v>7</v>
      </c>
      <c r="M50" s="4" t="s">
        <v>357</v>
      </c>
      <c r="N50" s="4" t="s">
        <v>393</v>
      </c>
      <c r="O50" s="6" t="s">
        <v>332</v>
      </c>
    </row>
    <row r="51" ht="35" spans="1:15">
      <c r="A51" s="2" t="s">
        <v>163</v>
      </c>
      <c r="B51" s="7" t="s">
        <v>164</v>
      </c>
      <c r="C51" s="2" t="s">
        <v>165</v>
      </c>
      <c r="D51" s="2" t="s">
        <v>116</v>
      </c>
      <c r="E51" s="2" t="s">
        <v>86</v>
      </c>
      <c r="F51" s="2" t="s">
        <v>111</v>
      </c>
      <c r="G51" s="2" t="s">
        <v>166</v>
      </c>
      <c r="H51" s="3" t="str">
        <f>_xlfn.LET(_xlpm.年限分,IF(L51&lt;=6,1,IF(L51&lt;=12,2,IF(L51&lt;=18,3,4))),_xlpm.区域分,IF(M51="郊区",2,1),_xlpm.总分,_xlpm.年限分+_xlpm.区域分,IF(_xlpm.总分&lt;=3,"低风险",IF(_xlpm.总分=4,"中风险","高风险")))</f>
        <v>高风险</v>
      </c>
      <c r="I51" s="3" t="str">
        <f t="shared" si="1"/>
        <v>地处：郊区，接管年限：13，近两年治安事件：无</v>
      </c>
      <c r="J51" s="5">
        <v>104.081091</v>
      </c>
      <c r="K51" s="5">
        <v>30.49284</v>
      </c>
      <c r="L51" s="2">
        <v>13</v>
      </c>
      <c r="M51" s="4" t="s">
        <v>357</v>
      </c>
      <c r="N51" s="4" t="s">
        <v>394</v>
      </c>
      <c r="O51" s="6" t="s">
        <v>332</v>
      </c>
    </row>
    <row r="52" ht="35" spans="1:15">
      <c r="A52" s="2" t="s">
        <v>168</v>
      </c>
      <c r="B52" s="7" t="s">
        <v>164</v>
      </c>
      <c r="C52" s="2" t="s">
        <v>169</v>
      </c>
      <c r="D52" s="2" t="s">
        <v>116</v>
      </c>
      <c r="E52" s="2" t="s">
        <v>86</v>
      </c>
      <c r="F52" s="2" t="s">
        <v>111</v>
      </c>
      <c r="G52" s="2" t="s">
        <v>166</v>
      </c>
      <c r="H52" s="3" t="s">
        <v>21</v>
      </c>
      <c r="I52" s="3" t="str">
        <f t="shared" si="1"/>
        <v>地处：郊区，接管年限：11，近两年治安事件：电瓶车电瓶遗失</v>
      </c>
      <c r="J52" s="5">
        <v>104.082788</v>
      </c>
      <c r="K52" s="5">
        <v>30.494588</v>
      </c>
      <c r="L52" s="2">
        <v>11</v>
      </c>
      <c r="M52" s="4" t="s">
        <v>357</v>
      </c>
      <c r="N52" s="4" t="s">
        <v>395</v>
      </c>
      <c r="O52" s="6" t="s">
        <v>380</v>
      </c>
    </row>
    <row r="53" ht="35" spans="1:15">
      <c r="A53" s="2" t="s">
        <v>170</v>
      </c>
      <c r="B53" s="7" t="s">
        <v>164</v>
      </c>
      <c r="C53" s="2" t="s">
        <v>171</v>
      </c>
      <c r="D53" s="2" t="s">
        <v>116</v>
      </c>
      <c r="E53" s="2" t="s">
        <v>86</v>
      </c>
      <c r="F53" s="2" t="s">
        <v>111</v>
      </c>
      <c r="G53" s="2" t="s">
        <v>166</v>
      </c>
      <c r="H53" s="3" t="str">
        <f>_xlfn.LET(_xlpm.年限分,IF(L53&lt;=6,1,IF(L53&lt;=12,2,IF(L53&lt;=18,3,4))),_xlpm.区域分,IF(M53="郊区",2,1),_xlpm.总分,_xlpm.年限分+_xlpm.区域分,IF(_xlpm.总分&lt;=3,"低风险",IF(_xlpm.总分=4,"中风险","高风险")))</f>
        <v>低风险</v>
      </c>
      <c r="I53" s="3" t="str">
        <f t="shared" si="1"/>
        <v>地处：郊区，接管年限：5，近两年治安事件：无</v>
      </c>
      <c r="J53" s="5">
        <v>104.077181</v>
      </c>
      <c r="K53" s="5">
        <v>30.515635</v>
      </c>
      <c r="L53" s="2">
        <v>5</v>
      </c>
      <c r="M53" s="4" t="s">
        <v>357</v>
      </c>
      <c r="N53" s="4" t="s">
        <v>396</v>
      </c>
      <c r="O53" s="6" t="s">
        <v>332</v>
      </c>
    </row>
    <row r="54" ht="35" spans="1:15">
      <c r="A54" s="2" t="s">
        <v>172</v>
      </c>
      <c r="B54" s="7" t="s">
        <v>164</v>
      </c>
      <c r="C54" s="2" t="s">
        <v>173</v>
      </c>
      <c r="D54" s="2" t="s">
        <v>116</v>
      </c>
      <c r="E54" s="2" t="s">
        <v>86</v>
      </c>
      <c r="F54" s="2" t="s">
        <v>111</v>
      </c>
      <c r="G54" s="2" t="s">
        <v>166</v>
      </c>
      <c r="H54" s="3" t="str">
        <f>_xlfn.LET(_xlpm.年限分,IF(L54&lt;=6,1,IF(L54&lt;=12,2,IF(L54&lt;=18,3,4))),_xlpm.区域分,IF(M54="郊区",2,1),_xlpm.总分,_xlpm.年限分+_xlpm.区域分,IF(_xlpm.总分&lt;=3,"低风险",IF(_xlpm.总分=4,"中风险","高风险")))</f>
        <v>低风险</v>
      </c>
      <c r="I54" s="3" t="str">
        <f t="shared" si="1"/>
        <v>地处：郊区，接管年限：2，近两年治安事件：无</v>
      </c>
      <c r="J54" s="5">
        <v>104.0598</v>
      </c>
      <c r="K54" s="5">
        <v>30.507433</v>
      </c>
      <c r="L54" s="2">
        <v>2</v>
      </c>
      <c r="M54" s="4" t="s">
        <v>357</v>
      </c>
      <c r="N54" s="4" t="s">
        <v>397</v>
      </c>
      <c r="O54" s="6" t="s">
        <v>332</v>
      </c>
    </row>
    <row r="55" ht="35" spans="1:15">
      <c r="A55" s="2" t="s">
        <v>175</v>
      </c>
      <c r="B55" s="2" t="s">
        <v>176</v>
      </c>
      <c r="C55" s="2" t="s">
        <v>177</v>
      </c>
      <c r="D55" s="2" t="s">
        <v>144</v>
      </c>
      <c r="E55" s="2" t="s">
        <v>110</v>
      </c>
      <c r="F55" s="2" t="s">
        <v>111</v>
      </c>
      <c r="G55" s="2" t="s">
        <v>178</v>
      </c>
      <c r="H55" s="3" t="str">
        <f>_xlfn.LET(_xlpm.年限分,IF(L55&lt;=6,1,IF(L55&lt;=12,2,IF(L55&lt;=18,3,4))),_xlpm.区域分,IF(M55="郊区",2,1),_xlpm.总分,_xlpm.年限分+_xlpm.区域分,IF(_xlpm.总分&lt;=3,"低风险",IF(_xlpm.总分=4,"中风险","高风险")))</f>
        <v>低风险</v>
      </c>
      <c r="I55" s="3" t="str">
        <f t="shared" si="1"/>
        <v>地处：郊区，接管年限：6，近两年治安事件：无</v>
      </c>
      <c r="J55" s="5">
        <v>104.266785</v>
      </c>
      <c r="K55" s="5">
        <v>30.894452</v>
      </c>
      <c r="L55" s="2">
        <v>6</v>
      </c>
      <c r="M55" s="4" t="s">
        <v>357</v>
      </c>
      <c r="N55" s="4" t="s">
        <v>398</v>
      </c>
      <c r="O55" s="6" t="s">
        <v>332</v>
      </c>
    </row>
    <row r="56" ht="35" spans="1:15">
      <c r="A56" s="2" t="s">
        <v>179</v>
      </c>
      <c r="B56" s="2" t="s">
        <v>176</v>
      </c>
      <c r="C56" s="2" t="s">
        <v>180</v>
      </c>
      <c r="D56" s="2" t="s">
        <v>144</v>
      </c>
      <c r="E56" s="2" t="s">
        <v>110</v>
      </c>
      <c r="F56" s="2" t="s">
        <v>111</v>
      </c>
      <c r="G56" s="2" t="s">
        <v>178</v>
      </c>
      <c r="H56" s="3" t="str">
        <f>_xlfn.LET(_xlpm.年限分,IF(L56&lt;=6,1,IF(L56&lt;=12,2,IF(L56&lt;=18,3,4))),_xlpm.区域分,IF(M56="郊区",2,1),_xlpm.总分,_xlpm.年限分+_xlpm.区域分,IF(_xlpm.总分&lt;=3,"低风险",IF(_xlpm.总分=4,"中风险","高风险")))</f>
        <v>低风险</v>
      </c>
      <c r="I56" s="3" t="str">
        <f t="shared" si="1"/>
        <v>地处：郊区，接管年限：5，近两年治安事件：无</v>
      </c>
      <c r="J56" s="5">
        <v>103.74606</v>
      </c>
      <c r="K56" s="5">
        <v>29.591045</v>
      </c>
      <c r="L56" s="2">
        <v>5</v>
      </c>
      <c r="M56" s="4" t="s">
        <v>357</v>
      </c>
      <c r="N56" s="4" t="s">
        <v>399</v>
      </c>
      <c r="O56" s="6" t="s">
        <v>332</v>
      </c>
    </row>
    <row r="57" ht="35" spans="1:15">
      <c r="A57" s="2" t="s">
        <v>181</v>
      </c>
      <c r="B57" s="2" t="s">
        <v>176</v>
      </c>
      <c r="C57" s="2" t="s">
        <v>182</v>
      </c>
      <c r="D57" s="2" t="s">
        <v>144</v>
      </c>
      <c r="E57" s="2" t="s">
        <v>110</v>
      </c>
      <c r="F57" s="2" t="s">
        <v>111</v>
      </c>
      <c r="G57" s="2" t="s">
        <v>178</v>
      </c>
      <c r="H57" s="3" t="str">
        <f>_xlfn.LET(_xlpm.年限分,IF(L57&lt;=6,1,IF(L57&lt;=12,2,IF(L57&lt;=18,3,4))),_xlpm.区域分,IF(M57="郊区",2,1),_xlpm.总分,_xlpm.年限分+_xlpm.区域分,IF(_xlpm.总分&lt;=3,"低风险",IF(_xlpm.总分=4,"中风险","高风险")))</f>
        <v>低风险</v>
      </c>
      <c r="I57" s="3" t="str">
        <f t="shared" si="1"/>
        <v>地处：郊区，接管年限：2，近两年治安事件：无</v>
      </c>
      <c r="J57" s="5">
        <v>104.240707</v>
      </c>
      <c r="K57" s="5">
        <v>30.885741</v>
      </c>
      <c r="L57" s="2">
        <v>2</v>
      </c>
      <c r="M57" s="4" t="s">
        <v>357</v>
      </c>
      <c r="N57" s="4" t="s">
        <v>400</v>
      </c>
      <c r="O57" s="6" t="s">
        <v>332</v>
      </c>
    </row>
    <row r="58" ht="35" spans="1:15">
      <c r="A58" s="2" t="s">
        <v>183</v>
      </c>
      <c r="B58" s="2" t="s">
        <v>184</v>
      </c>
      <c r="C58" s="2" t="s">
        <v>185</v>
      </c>
      <c r="D58" s="2" t="s">
        <v>109</v>
      </c>
      <c r="E58" s="2" t="s">
        <v>110</v>
      </c>
      <c r="F58" s="2" t="s">
        <v>111</v>
      </c>
      <c r="G58" s="2" t="s">
        <v>112</v>
      </c>
      <c r="H58" s="3" t="str">
        <f>_xlfn.LET(_xlpm.年限分,IF(L58&lt;=6,1,IF(L58&lt;=12,2,IF(L58&lt;=18,3,4))),_xlpm.区域分,IF(M58="郊区",2,1),_xlpm.总分,_xlpm.年限分+_xlpm.区域分,IF(_xlpm.总分&lt;=3,"低风险",IF(_xlpm.总分=4,"中风险","高风险")))</f>
        <v>低风险</v>
      </c>
      <c r="I58" s="3" t="str">
        <f t="shared" si="1"/>
        <v>地处：主城区，接管年限：10，近两年治安事件：无</v>
      </c>
      <c r="J58" s="5">
        <v>104.172209</v>
      </c>
      <c r="K58" s="5">
        <v>30.592394</v>
      </c>
      <c r="L58" s="2">
        <v>10</v>
      </c>
      <c r="M58" s="4" t="s">
        <v>341</v>
      </c>
      <c r="N58" s="4" t="s">
        <v>401</v>
      </c>
      <c r="O58" s="6" t="s">
        <v>332</v>
      </c>
    </row>
    <row r="59" ht="35" spans="1:15">
      <c r="A59" s="2" t="s">
        <v>186</v>
      </c>
      <c r="B59" s="2" t="s">
        <v>184</v>
      </c>
      <c r="C59" s="2" t="s">
        <v>187</v>
      </c>
      <c r="D59" s="2" t="s">
        <v>109</v>
      </c>
      <c r="E59" s="2" t="s">
        <v>110</v>
      </c>
      <c r="F59" s="2" t="s">
        <v>111</v>
      </c>
      <c r="G59" s="2" t="s">
        <v>112</v>
      </c>
      <c r="H59" s="3" t="str">
        <f>_xlfn.LET(_xlpm.年限分,IF(L59&lt;=6,1,IF(L59&lt;=12,2,IF(L59&lt;=18,3,4))),_xlpm.区域分,IF(M59="郊区",2,1),_xlpm.总分,_xlpm.年限分+_xlpm.区域分,IF(_xlpm.总分&lt;=3,"低风险",IF(_xlpm.总分=4,"中风险","高风险")))</f>
        <v>低风险</v>
      </c>
      <c r="I59" s="3" t="str">
        <f t="shared" si="1"/>
        <v>地处：主城区，接管年限：2，近两年治安事件：无</v>
      </c>
      <c r="J59" s="5">
        <v>104.180224</v>
      </c>
      <c r="K59" s="5">
        <v>30.589914</v>
      </c>
      <c r="L59" s="2">
        <v>2</v>
      </c>
      <c r="M59" s="4" t="s">
        <v>341</v>
      </c>
      <c r="N59" s="4" t="s">
        <v>402</v>
      </c>
      <c r="O59" s="6" t="s">
        <v>332</v>
      </c>
    </row>
    <row r="60" ht="35" spans="1:15">
      <c r="A60" s="2" t="s">
        <v>188</v>
      </c>
      <c r="B60" s="2" t="s">
        <v>184</v>
      </c>
      <c r="C60" s="2" t="s">
        <v>187</v>
      </c>
      <c r="D60" s="2" t="s">
        <v>109</v>
      </c>
      <c r="E60" s="2" t="s">
        <v>110</v>
      </c>
      <c r="F60" s="2" t="s">
        <v>111</v>
      </c>
      <c r="G60" s="2" t="s">
        <v>112</v>
      </c>
      <c r="H60" s="3" t="str">
        <f>_xlfn.LET(_xlpm.年限分,IF(L60&lt;=6,1,IF(L60&lt;=12,2,IF(L60&lt;=18,3,4))),_xlpm.区域分,IF(M60="郊区",2,1),_xlpm.总分,_xlpm.年限分+_xlpm.区域分,IF(_xlpm.总分&lt;=3,"低风险",IF(_xlpm.总分=4,"中风险","高风险")))</f>
        <v>低风险</v>
      </c>
      <c r="I60" s="3" t="str">
        <f t="shared" si="1"/>
        <v>地处：主城区，接管年限：2，近两年治安事件：无</v>
      </c>
      <c r="J60" s="5">
        <v>104.180224</v>
      </c>
      <c r="K60" s="5">
        <v>30.589914</v>
      </c>
      <c r="L60" s="2">
        <v>2</v>
      </c>
      <c r="M60" s="4" t="s">
        <v>341</v>
      </c>
      <c r="N60" s="4" t="s">
        <v>402</v>
      </c>
      <c r="O60" s="6" t="s">
        <v>332</v>
      </c>
    </row>
    <row r="61" ht="35" spans="1:15">
      <c r="A61" s="8" t="s">
        <v>189</v>
      </c>
      <c r="B61" s="2" t="s">
        <v>80</v>
      </c>
      <c r="C61" s="2" t="s">
        <v>187</v>
      </c>
      <c r="D61" s="2" t="s">
        <v>109</v>
      </c>
      <c r="E61" s="2" t="s">
        <v>110</v>
      </c>
      <c r="F61" s="2" t="s">
        <v>111</v>
      </c>
      <c r="G61" s="2" t="s">
        <v>112</v>
      </c>
      <c r="H61" s="3" t="str">
        <f>_xlfn.LET(_xlpm.年限分,IF(L61&lt;=6,1,IF(L61&lt;=12,2,IF(L61&lt;=18,3,4))),_xlpm.区域分,IF(M61="郊区",2,1),_xlpm.总分,_xlpm.年限分+_xlpm.区域分,IF(_xlpm.总分&lt;=3,"低风险",IF(_xlpm.总分=4,"中风险","高风险")))</f>
        <v>低风险</v>
      </c>
      <c r="I61" s="3" t="str">
        <f t="shared" si="1"/>
        <v>地处：主城区，接管年限：1，近两年治安事件：无</v>
      </c>
      <c r="J61" s="5">
        <v>104.168539</v>
      </c>
      <c r="K61" s="5">
        <v>30.593297</v>
      </c>
      <c r="L61" s="2">
        <v>1</v>
      </c>
      <c r="M61" s="4" t="s">
        <v>341</v>
      </c>
      <c r="N61" s="4" t="s">
        <v>403</v>
      </c>
      <c r="O61" s="6" t="s">
        <v>332</v>
      </c>
    </row>
    <row r="62" ht="35" spans="1:15">
      <c r="A62" s="8" t="s">
        <v>192</v>
      </c>
      <c r="B62" s="2" t="s">
        <v>80</v>
      </c>
      <c r="C62" s="2" t="s">
        <v>187</v>
      </c>
      <c r="D62" s="2" t="s">
        <v>109</v>
      </c>
      <c r="E62" s="2" t="s">
        <v>110</v>
      </c>
      <c r="F62" s="2" t="s">
        <v>111</v>
      </c>
      <c r="G62" s="2" t="s">
        <v>112</v>
      </c>
      <c r="H62" s="3" t="str">
        <f>_xlfn.LET(_xlpm.年限分,IF(L62&lt;=6,1,IF(L62&lt;=12,2,IF(L62&lt;=18,3,4))),_xlpm.区域分,IF(M62="郊区",2,1),_xlpm.总分,_xlpm.年限分+_xlpm.区域分,IF(_xlpm.总分&lt;=3,"低风险",IF(_xlpm.总分=4,"中风险","高风险")))</f>
        <v>低风险</v>
      </c>
      <c r="I62" s="3" t="str">
        <f t="shared" si="1"/>
        <v>地处：主城区，接管年限：1，近两年治安事件：无</v>
      </c>
      <c r="J62" s="5">
        <v>104.172642</v>
      </c>
      <c r="K62" s="5">
        <v>30.592629</v>
      </c>
      <c r="L62" s="2">
        <v>1</v>
      </c>
      <c r="M62" s="4" t="s">
        <v>341</v>
      </c>
      <c r="N62" s="4" t="s">
        <v>404</v>
      </c>
      <c r="O62" s="6" t="s">
        <v>332</v>
      </c>
    </row>
    <row r="63" ht="35" spans="1:15">
      <c r="A63" s="8" t="s">
        <v>193</v>
      </c>
      <c r="B63" s="2" t="s">
        <v>80</v>
      </c>
      <c r="C63" s="2" t="s">
        <v>187</v>
      </c>
      <c r="D63" s="2" t="s">
        <v>109</v>
      </c>
      <c r="E63" s="2" t="s">
        <v>110</v>
      </c>
      <c r="F63" s="2" t="s">
        <v>111</v>
      </c>
      <c r="G63" s="2" t="s">
        <v>112</v>
      </c>
      <c r="H63" s="3" t="str">
        <f>_xlfn.LET(_xlpm.年限分,IF(L63&lt;=6,1,IF(L63&lt;=12,2,IF(L63&lt;=18,3,4))),_xlpm.区域分,IF(M63="郊区",2,1),_xlpm.总分,_xlpm.年限分+_xlpm.区域分,IF(_xlpm.总分&lt;=3,"低风险",IF(_xlpm.总分=4,"中风险","高风险")))</f>
        <v>低风险</v>
      </c>
      <c r="I63" s="3" t="str">
        <f t="shared" si="1"/>
        <v>地处：主城区，接管年限：1，近两年治安事件：无</v>
      </c>
      <c r="J63" s="5">
        <v>104.180224</v>
      </c>
      <c r="K63" s="5">
        <v>30.589914</v>
      </c>
      <c r="L63" s="2">
        <v>1</v>
      </c>
      <c r="M63" s="4" t="s">
        <v>341</v>
      </c>
      <c r="N63" s="4" t="s">
        <v>405</v>
      </c>
      <c r="O63" s="6" t="s">
        <v>332</v>
      </c>
    </row>
    <row r="64" ht="35" spans="1:15">
      <c r="A64" s="2" t="s">
        <v>194</v>
      </c>
      <c r="B64" s="2" t="s">
        <v>195</v>
      </c>
      <c r="C64" s="2" t="s">
        <v>196</v>
      </c>
      <c r="D64" s="2" t="s">
        <v>109</v>
      </c>
      <c r="E64" s="2" t="s">
        <v>110</v>
      </c>
      <c r="F64" s="2" t="s">
        <v>111</v>
      </c>
      <c r="G64" s="2" t="s">
        <v>197</v>
      </c>
      <c r="H64" s="3" t="str">
        <f>_xlfn.LET(_xlpm.年限分,IF(L64&lt;=6,1,IF(L64&lt;=12,2,IF(L64&lt;=18,3,4))),_xlpm.区域分,IF(M64="郊区",2,1),_xlpm.总分,_xlpm.年限分+_xlpm.区域分,IF(_xlpm.总分&lt;=3,"低风险",IF(_xlpm.总分=4,"中风险","高风险")))</f>
        <v>高风险</v>
      </c>
      <c r="I64" s="3" t="str">
        <f t="shared" si="1"/>
        <v>地处：主城区，接管年限：21，近两年治安事件：无</v>
      </c>
      <c r="J64" s="5">
        <v>104.092632</v>
      </c>
      <c r="K64" s="5">
        <v>30.679086</v>
      </c>
      <c r="L64" s="2">
        <v>21</v>
      </c>
      <c r="M64" s="4" t="s">
        <v>341</v>
      </c>
      <c r="N64" s="4" t="s">
        <v>406</v>
      </c>
      <c r="O64" s="6" t="s">
        <v>332</v>
      </c>
    </row>
    <row r="65" ht="35" spans="1:15">
      <c r="A65" s="2" t="s">
        <v>198</v>
      </c>
      <c r="B65" s="2" t="s">
        <v>195</v>
      </c>
      <c r="C65" s="2" t="s">
        <v>199</v>
      </c>
      <c r="D65" s="2" t="s">
        <v>109</v>
      </c>
      <c r="E65" s="2" t="s">
        <v>110</v>
      </c>
      <c r="F65" s="2" t="s">
        <v>111</v>
      </c>
      <c r="G65" s="2" t="s">
        <v>197</v>
      </c>
      <c r="H65" s="3" t="str">
        <f>_xlfn.LET(_xlpm.年限分,IF(L65&lt;=6,1,IF(L65&lt;=12,2,IF(L65&lt;=18,3,4))),_xlpm.区域分,IF(M65="郊区",2,1),_xlpm.总分,_xlpm.年限分+_xlpm.区域分,IF(_xlpm.总分&lt;=3,"低风险",IF(_xlpm.总分=4,"中风险","高风险")))</f>
        <v>中风险</v>
      </c>
      <c r="I65" s="3" t="str">
        <f t="shared" si="1"/>
        <v>地处：主城区，接管年限：17，近两年治安事件：无</v>
      </c>
      <c r="J65" s="5">
        <v>104.108956</v>
      </c>
      <c r="K65" s="5">
        <v>30.670373</v>
      </c>
      <c r="L65" s="2">
        <v>17</v>
      </c>
      <c r="M65" s="4" t="s">
        <v>341</v>
      </c>
      <c r="N65" s="4" t="s">
        <v>407</v>
      </c>
      <c r="O65" s="6" t="s">
        <v>332</v>
      </c>
    </row>
    <row r="66" ht="35" spans="1:15">
      <c r="A66" s="2" t="s">
        <v>200</v>
      </c>
      <c r="B66" s="2" t="s">
        <v>195</v>
      </c>
      <c r="C66" s="2" t="s">
        <v>201</v>
      </c>
      <c r="D66" s="2" t="s">
        <v>109</v>
      </c>
      <c r="E66" s="2" t="s">
        <v>110</v>
      </c>
      <c r="F66" s="2" t="s">
        <v>111</v>
      </c>
      <c r="G66" s="2" t="s">
        <v>197</v>
      </c>
      <c r="H66" s="3" t="str">
        <f>_xlfn.LET(_xlpm.年限分,IF(L66&lt;=6,1,IF(L66&lt;=12,2,IF(L66&lt;=18,3,4))),_xlpm.区域分,IF(M66="郊区",2,1),_xlpm.总分,_xlpm.年限分+_xlpm.区域分,IF(_xlpm.总分&lt;=3,"低风险",IF(_xlpm.总分=4,"中风险","高风险")))</f>
        <v>低风险</v>
      </c>
      <c r="I66" s="3" t="str">
        <f t="shared" si="1"/>
        <v>地处：主城区，接管年限：8，近两年治安事件：无</v>
      </c>
      <c r="J66" s="5">
        <v>104.105723</v>
      </c>
      <c r="K66" s="5">
        <v>30.678715</v>
      </c>
      <c r="L66" s="2">
        <v>8</v>
      </c>
      <c r="M66" s="4" t="s">
        <v>341</v>
      </c>
      <c r="N66" s="4" t="s">
        <v>408</v>
      </c>
      <c r="O66" s="6" t="s">
        <v>332</v>
      </c>
    </row>
    <row r="67" ht="35" spans="1:15">
      <c r="A67" s="2" t="s">
        <v>202</v>
      </c>
      <c r="B67" s="2" t="s">
        <v>195</v>
      </c>
      <c r="C67" s="2" t="s">
        <v>203</v>
      </c>
      <c r="D67" s="2" t="s">
        <v>109</v>
      </c>
      <c r="E67" s="2" t="s">
        <v>110</v>
      </c>
      <c r="F67" s="2" t="s">
        <v>111</v>
      </c>
      <c r="G67" s="2" t="s">
        <v>197</v>
      </c>
      <c r="H67" s="3" t="str">
        <f>_xlfn.LET(_xlpm.年限分,IF(L67&lt;=6,1,IF(L67&lt;=12,2,IF(L67&lt;=18,3,4))),_xlpm.区域分,IF(M67="郊区",2,1),_xlpm.总分,_xlpm.年限分+_xlpm.区域分,IF(_xlpm.总分&lt;=3,"低风险",IF(_xlpm.总分=4,"中风险","高风险")))</f>
        <v>中风险</v>
      </c>
      <c r="I67" s="3" t="str">
        <f t="shared" ref="I67:I98" si="2">"地处："&amp;M67&amp;"，接管年限："&amp;L67&amp;"，近两年治安事件："&amp;O67</f>
        <v>地处：主城区，接管年限：15，近两年治安事件：无</v>
      </c>
      <c r="J67" s="5">
        <v>104.108899</v>
      </c>
      <c r="K67" s="5">
        <v>30.671493</v>
      </c>
      <c r="L67" s="2">
        <v>15</v>
      </c>
      <c r="M67" s="4" t="s">
        <v>341</v>
      </c>
      <c r="N67" s="4" t="s">
        <v>409</v>
      </c>
      <c r="O67" s="6" t="s">
        <v>332</v>
      </c>
    </row>
    <row r="68" ht="35" spans="1:15">
      <c r="A68" s="2" t="s">
        <v>204</v>
      </c>
      <c r="B68" s="2" t="s">
        <v>195</v>
      </c>
      <c r="C68" s="2" t="s">
        <v>205</v>
      </c>
      <c r="D68" s="2" t="s">
        <v>17</v>
      </c>
      <c r="E68" s="2" t="s">
        <v>18</v>
      </c>
      <c r="F68" s="2" t="s">
        <v>19</v>
      </c>
      <c r="G68" s="2" t="s">
        <v>197</v>
      </c>
      <c r="H68" s="3" t="str">
        <f>_xlfn.LET(_xlpm.年限分,IF(L68&lt;=6,1,IF(L68&lt;=12,2,IF(L68&lt;=18,3,4))),_xlpm.区域分,IF(M68="郊区",2,1),_xlpm.总分,_xlpm.年限分+_xlpm.区域分,IF(_xlpm.总分&lt;=3,"低风险",IF(_xlpm.总分=4,"中风险","高风险")))</f>
        <v>低风险</v>
      </c>
      <c r="I68" s="3" t="str">
        <f t="shared" si="2"/>
        <v>地处：主城区，接管年限：8，近两年治安事件：无</v>
      </c>
      <c r="J68" s="5">
        <v>104.093293</v>
      </c>
      <c r="K68" s="5">
        <v>30.638418</v>
      </c>
      <c r="L68" s="2">
        <v>8</v>
      </c>
      <c r="M68" s="4" t="s">
        <v>341</v>
      </c>
      <c r="N68" s="4" t="s">
        <v>410</v>
      </c>
      <c r="O68" s="6" t="s">
        <v>332</v>
      </c>
    </row>
    <row r="69" ht="35" spans="1:15">
      <c r="A69" s="2" t="s">
        <v>206</v>
      </c>
      <c r="B69" s="2" t="s">
        <v>195</v>
      </c>
      <c r="C69" s="2" t="s">
        <v>207</v>
      </c>
      <c r="D69" s="2" t="s">
        <v>17</v>
      </c>
      <c r="E69" s="2" t="s">
        <v>18</v>
      </c>
      <c r="F69" s="2" t="s">
        <v>19</v>
      </c>
      <c r="G69" s="2" t="s">
        <v>197</v>
      </c>
      <c r="H69" s="3" t="str">
        <f>_xlfn.LET(_xlpm.年限分,IF(L69&lt;=6,1,IF(L69&lt;=12,2,IF(L69&lt;=18,3,4))),_xlpm.区域分,IF(M69="郊区",2,1),_xlpm.总分,_xlpm.年限分+_xlpm.区域分,IF(_xlpm.总分&lt;=3,"低风险",IF(_xlpm.总分=4,"中风险","高风险")))</f>
        <v>低风险</v>
      </c>
      <c r="I69" s="3" t="str">
        <f t="shared" si="2"/>
        <v>地处：主城区，接管年限：8，近两年治安事件：无</v>
      </c>
      <c r="J69" s="5">
        <v>104.093258</v>
      </c>
      <c r="K69" s="5">
        <v>30.647985</v>
      </c>
      <c r="L69" s="2">
        <v>8</v>
      </c>
      <c r="M69" s="4" t="s">
        <v>341</v>
      </c>
      <c r="N69" s="4" t="s">
        <v>411</v>
      </c>
      <c r="O69" s="6" t="s">
        <v>332</v>
      </c>
    </row>
    <row r="70" ht="35" spans="1:15">
      <c r="A70" s="2" t="s">
        <v>208</v>
      </c>
      <c r="B70" s="2" t="s">
        <v>195</v>
      </c>
      <c r="C70" s="2" t="s">
        <v>209</v>
      </c>
      <c r="D70" s="2" t="s">
        <v>17</v>
      </c>
      <c r="E70" s="2" t="s">
        <v>18</v>
      </c>
      <c r="F70" s="2" t="s">
        <v>19</v>
      </c>
      <c r="G70" s="2" t="s">
        <v>197</v>
      </c>
      <c r="H70" s="3" t="str">
        <f>_xlfn.LET(_xlpm.年限分,IF(L70&lt;=6,1,IF(L70&lt;=12,2,IF(L70&lt;=18,3,4))),_xlpm.区域分,IF(M70="郊区",2,1),_xlpm.总分,_xlpm.年限分+_xlpm.区域分,IF(_xlpm.总分&lt;=3,"低风险",IF(_xlpm.总分=4,"中风险","高风险")))</f>
        <v>低风险</v>
      </c>
      <c r="I70" s="3" t="str">
        <f t="shared" si="2"/>
        <v>地处：主城区，接管年限：3，近两年治安事件：无</v>
      </c>
      <c r="J70" s="5">
        <v>104.086667</v>
      </c>
      <c r="K70" s="5">
        <v>30.65332</v>
      </c>
      <c r="L70" s="2">
        <v>3</v>
      </c>
      <c r="M70" s="4" t="s">
        <v>341</v>
      </c>
      <c r="N70" s="4" t="s">
        <v>412</v>
      </c>
      <c r="O70" s="6" t="s">
        <v>332</v>
      </c>
    </row>
    <row r="71" ht="35" spans="1:15">
      <c r="A71" s="2" t="s">
        <v>210</v>
      </c>
      <c r="B71" s="2" t="s">
        <v>211</v>
      </c>
      <c r="C71" s="2" t="s">
        <v>212</v>
      </c>
      <c r="D71" s="2" t="s">
        <v>116</v>
      </c>
      <c r="E71" s="2" t="s">
        <v>86</v>
      </c>
      <c r="F71" s="2" t="s">
        <v>111</v>
      </c>
      <c r="G71" s="2" t="s">
        <v>213</v>
      </c>
      <c r="H71" s="3" t="str">
        <f>_xlfn.LET(_xlpm.年限分,IF(L71&lt;=6,1,IF(L71&lt;=12,2,IF(L71&lt;=18,3,4))),_xlpm.区域分,IF(M71="郊区",2,1),_xlpm.总分,_xlpm.年限分+_xlpm.区域分,IF(_xlpm.总分&lt;=3,"低风险",IF(_xlpm.总分=4,"中风险","高风险")))</f>
        <v>低风险</v>
      </c>
      <c r="I71" s="3" t="str">
        <f t="shared" si="2"/>
        <v>地处：郊区，接管年限：5，近两年治安事件：无</v>
      </c>
      <c r="J71" s="5">
        <v>104.081545</v>
      </c>
      <c r="K71" s="5">
        <v>30.448331</v>
      </c>
      <c r="L71" s="2">
        <v>5</v>
      </c>
      <c r="M71" s="4" t="s">
        <v>357</v>
      </c>
      <c r="N71" s="4" t="s">
        <v>413</v>
      </c>
      <c r="O71" s="6" t="s">
        <v>332</v>
      </c>
    </row>
    <row r="72" ht="35" spans="1:15">
      <c r="A72" s="2" t="s">
        <v>214</v>
      </c>
      <c r="B72" s="2" t="s">
        <v>211</v>
      </c>
      <c r="C72" s="2" t="s">
        <v>215</v>
      </c>
      <c r="D72" s="2" t="s">
        <v>116</v>
      </c>
      <c r="E72" s="2" t="s">
        <v>86</v>
      </c>
      <c r="F72" s="2" t="s">
        <v>111</v>
      </c>
      <c r="G72" s="2" t="s">
        <v>213</v>
      </c>
      <c r="H72" s="3" t="s">
        <v>21</v>
      </c>
      <c r="I72" s="3" t="str">
        <f t="shared" si="2"/>
        <v>地处：郊区，接管年限：4，近两年治安事件：行李箱遗失</v>
      </c>
      <c r="J72" s="5">
        <v>104.081598</v>
      </c>
      <c r="K72" s="5">
        <v>30.516675</v>
      </c>
      <c r="L72" s="2">
        <v>4</v>
      </c>
      <c r="M72" s="4" t="s">
        <v>357</v>
      </c>
      <c r="N72" s="4" t="s">
        <v>414</v>
      </c>
      <c r="O72" s="6" t="s">
        <v>415</v>
      </c>
    </row>
    <row r="73" ht="35" spans="1:15">
      <c r="A73" s="2" t="s">
        <v>216</v>
      </c>
      <c r="B73" s="2" t="s">
        <v>211</v>
      </c>
      <c r="C73" s="2" t="s">
        <v>217</v>
      </c>
      <c r="D73" s="2" t="s">
        <v>116</v>
      </c>
      <c r="E73" s="2" t="s">
        <v>86</v>
      </c>
      <c r="F73" s="2" t="s">
        <v>111</v>
      </c>
      <c r="G73" s="2" t="s">
        <v>213</v>
      </c>
      <c r="H73" s="3" t="str">
        <f>_xlfn.LET(_xlpm.年限分,IF(L73&lt;=6,1,IF(L73&lt;=12,2,IF(L73&lt;=18,3,4))),_xlpm.区域分,IF(M73="郊区",2,1),_xlpm.总分,_xlpm.年限分+_xlpm.区域分,IF(_xlpm.总分&lt;=3,"低风险",IF(_xlpm.总分=4,"中风险","高风险")))</f>
        <v>低风险</v>
      </c>
      <c r="I73" s="3" t="str">
        <f t="shared" si="2"/>
        <v>地处：郊区，接管年限：4，近两年治安事件：无</v>
      </c>
      <c r="J73" s="5">
        <v>104.079725</v>
      </c>
      <c r="K73" s="5">
        <v>30.458633</v>
      </c>
      <c r="L73" s="2">
        <v>4</v>
      </c>
      <c r="M73" s="4" t="s">
        <v>357</v>
      </c>
      <c r="N73" s="4" t="s">
        <v>416</v>
      </c>
      <c r="O73" s="6" t="s">
        <v>332</v>
      </c>
    </row>
    <row r="74" ht="35" spans="1:15">
      <c r="A74" s="2" t="s">
        <v>218</v>
      </c>
      <c r="B74" s="2" t="s">
        <v>211</v>
      </c>
      <c r="C74" s="2" t="s">
        <v>219</v>
      </c>
      <c r="D74" s="2" t="s">
        <v>116</v>
      </c>
      <c r="E74" s="2" t="s">
        <v>86</v>
      </c>
      <c r="F74" s="2" t="s">
        <v>111</v>
      </c>
      <c r="G74" s="2" t="s">
        <v>213</v>
      </c>
      <c r="H74" s="3" t="str">
        <f>_xlfn.LET(_xlpm.年限分,IF(L74&lt;=6,1,IF(L74&lt;=12,2,IF(L74&lt;=18,3,4))),_xlpm.区域分,IF(M74="郊区",2,1),_xlpm.总分,_xlpm.年限分+_xlpm.区域分,IF(_xlpm.总分&lt;=3,"低风险",IF(_xlpm.总分=4,"中风险","高风险")))</f>
        <v>低风险</v>
      </c>
      <c r="I74" s="3" t="str">
        <f t="shared" si="2"/>
        <v>地处：郊区，接管年限：3，近两年治安事件：无</v>
      </c>
      <c r="J74" s="5">
        <v>104.086417</v>
      </c>
      <c r="K74" s="5">
        <v>30.465494</v>
      </c>
      <c r="L74" s="2">
        <v>3</v>
      </c>
      <c r="M74" s="4" t="s">
        <v>357</v>
      </c>
      <c r="N74" s="4" t="s">
        <v>417</v>
      </c>
      <c r="O74" s="6" t="s">
        <v>332</v>
      </c>
    </row>
    <row r="75" ht="35" spans="1:15">
      <c r="A75" s="2" t="s">
        <v>220</v>
      </c>
      <c r="B75" s="2" t="s">
        <v>211</v>
      </c>
      <c r="C75" s="2" t="s">
        <v>217</v>
      </c>
      <c r="D75" s="2" t="s">
        <v>116</v>
      </c>
      <c r="E75" s="2" t="s">
        <v>86</v>
      </c>
      <c r="F75" s="2" t="s">
        <v>111</v>
      </c>
      <c r="G75" s="2" t="s">
        <v>213</v>
      </c>
      <c r="H75" s="3" t="str">
        <f>_xlfn.LET(_xlpm.年限分,IF(L75&lt;=6,1,IF(L75&lt;=12,2,IF(L75&lt;=18,3,4))),_xlpm.区域分,IF(M75="郊区",2,1),_xlpm.总分,_xlpm.年限分+_xlpm.区域分,IF(_xlpm.总分&lt;=3,"低风险",IF(_xlpm.总分=4,"中风险","高风险")))</f>
        <v>低风险</v>
      </c>
      <c r="I75" s="3" t="str">
        <f t="shared" si="2"/>
        <v>地处：郊区，接管年限：3，近两年治安事件：无</v>
      </c>
      <c r="J75" s="5">
        <v>104.088094</v>
      </c>
      <c r="K75" s="5">
        <v>30.461143</v>
      </c>
      <c r="L75" s="2">
        <v>3</v>
      </c>
      <c r="M75" s="4" t="s">
        <v>357</v>
      </c>
      <c r="N75" s="4" t="s">
        <v>418</v>
      </c>
      <c r="O75" s="6" t="s">
        <v>332</v>
      </c>
    </row>
    <row r="76" ht="35" spans="1:15">
      <c r="A76" s="2" t="s">
        <v>221</v>
      </c>
      <c r="B76" s="2" t="s">
        <v>211</v>
      </c>
      <c r="C76" s="2" t="s">
        <v>219</v>
      </c>
      <c r="D76" s="2" t="s">
        <v>116</v>
      </c>
      <c r="E76" s="2" t="s">
        <v>86</v>
      </c>
      <c r="F76" s="2" t="s">
        <v>111</v>
      </c>
      <c r="G76" s="2" t="s">
        <v>213</v>
      </c>
      <c r="H76" s="3" t="str">
        <f>_xlfn.LET(_xlpm.年限分,IF(L76&lt;=6,1,IF(L76&lt;=12,2,IF(L76&lt;=18,3,4))),_xlpm.区域分,IF(M76="郊区",2,1),_xlpm.总分,_xlpm.年限分+_xlpm.区域分,IF(_xlpm.总分&lt;=3,"低风险",IF(_xlpm.总分=4,"中风险","高风险")))</f>
        <v>低风险</v>
      </c>
      <c r="I76" s="3" t="str">
        <f t="shared" si="2"/>
        <v>地处：郊区，接管年限：2，近两年治安事件：无</v>
      </c>
      <c r="J76" s="5">
        <v>104.088094</v>
      </c>
      <c r="K76" s="5">
        <v>30.461143</v>
      </c>
      <c r="L76" s="2">
        <v>2</v>
      </c>
      <c r="M76" s="4" t="s">
        <v>357</v>
      </c>
      <c r="N76" s="4" t="s">
        <v>419</v>
      </c>
      <c r="O76" s="6" t="s">
        <v>332</v>
      </c>
    </row>
    <row r="77" ht="35" spans="1:15">
      <c r="A77" s="2" t="s">
        <v>222</v>
      </c>
      <c r="B77" s="2" t="s">
        <v>211</v>
      </c>
      <c r="C77" s="2" t="s">
        <v>223</v>
      </c>
      <c r="D77" s="2" t="s">
        <v>116</v>
      </c>
      <c r="E77" s="2" t="s">
        <v>86</v>
      </c>
      <c r="F77" s="2" t="s">
        <v>111</v>
      </c>
      <c r="G77" s="2" t="s">
        <v>213</v>
      </c>
      <c r="H77" s="3" t="s">
        <v>21</v>
      </c>
      <c r="I77" s="3" t="str">
        <f t="shared" si="2"/>
        <v>地处：郊区，接管年限：2，近两年治安事件：地下室车门被撬</v>
      </c>
      <c r="J77" s="5">
        <v>104.044928</v>
      </c>
      <c r="K77" s="5">
        <v>30.447203</v>
      </c>
      <c r="L77" s="2">
        <v>2</v>
      </c>
      <c r="M77" s="4" t="s">
        <v>357</v>
      </c>
      <c r="N77" s="4" t="s">
        <v>420</v>
      </c>
      <c r="O77" s="6" t="s">
        <v>421</v>
      </c>
    </row>
    <row r="78" ht="35" spans="1:15">
      <c r="A78" s="2" t="s">
        <v>224</v>
      </c>
      <c r="B78" s="2" t="s">
        <v>211</v>
      </c>
      <c r="C78" s="2" t="s">
        <v>223</v>
      </c>
      <c r="D78" s="2" t="s">
        <v>116</v>
      </c>
      <c r="E78" s="2" t="s">
        <v>86</v>
      </c>
      <c r="F78" s="2" t="s">
        <v>111</v>
      </c>
      <c r="G78" s="2" t="s">
        <v>213</v>
      </c>
      <c r="H78" s="3" t="str">
        <f>_xlfn.LET(_xlpm.年限分,IF(L78&lt;=6,1,IF(L78&lt;=12,2,IF(L78&lt;=18,3,4))),_xlpm.区域分,IF(M78="郊区",2,1),_xlpm.总分,_xlpm.年限分+_xlpm.区域分,IF(_xlpm.总分&lt;=3,"低风险",IF(_xlpm.总分=4,"中风险","高风险")))</f>
        <v>低风险</v>
      </c>
      <c r="I78" s="3" t="str">
        <f t="shared" si="2"/>
        <v>地处：郊区，接管年限：3，近两年治安事件：无</v>
      </c>
      <c r="J78" s="5">
        <v>104.044928</v>
      </c>
      <c r="K78" s="5">
        <v>30.447203</v>
      </c>
      <c r="L78" s="2">
        <v>3</v>
      </c>
      <c r="M78" s="4" t="s">
        <v>357</v>
      </c>
      <c r="N78" s="4" t="s">
        <v>420</v>
      </c>
      <c r="O78" s="6" t="s">
        <v>332</v>
      </c>
    </row>
    <row r="79" ht="35" spans="1:15">
      <c r="A79" s="2" t="s">
        <v>225</v>
      </c>
      <c r="B79" s="2" t="s">
        <v>211</v>
      </c>
      <c r="C79" s="2" t="s">
        <v>223</v>
      </c>
      <c r="D79" s="2" t="s">
        <v>116</v>
      </c>
      <c r="E79" s="2" t="s">
        <v>86</v>
      </c>
      <c r="F79" s="2" t="s">
        <v>111</v>
      </c>
      <c r="G79" s="2" t="s">
        <v>213</v>
      </c>
      <c r="H79" s="3" t="str">
        <f>_xlfn.LET(_xlpm.年限分,IF(L79&lt;=6,1,IF(L79&lt;=12,2,IF(L79&lt;=18,3,4))),_xlpm.区域分,IF(M79="郊区",2,1),_xlpm.总分,_xlpm.年限分+_xlpm.区域分,IF(_xlpm.总分&lt;=3,"低风险",IF(_xlpm.总分=4,"中风险","高风险")))</f>
        <v>低风险</v>
      </c>
      <c r="I79" s="3" t="str">
        <f t="shared" si="2"/>
        <v>地处：郊区，接管年限：2，近两年治安事件：无</v>
      </c>
      <c r="J79" s="5">
        <v>104.044928</v>
      </c>
      <c r="K79" s="5">
        <v>30.447203</v>
      </c>
      <c r="L79" s="2">
        <v>2</v>
      </c>
      <c r="M79" s="4" t="s">
        <v>357</v>
      </c>
      <c r="N79" s="4" t="s">
        <v>420</v>
      </c>
      <c r="O79" s="6" t="s">
        <v>332</v>
      </c>
    </row>
    <row r="80" ht="35" spans="1:15">
      <c r="A80" s="2" t="s">
        <v>226</v>
      </c>
      <c r="B80" s="2" t="s">
        <v>211</v>
      </c>
      <c r="C80" s="2" t="s">
        <v>223</v>
      </c>
      <c r="D80" s="2" t="s">
        <v>116</v>
      </c>
      <c r="E80" s="2" t="s">
        <v>86</v>
      </c>
      <c r="F80" s="2" t="s">
        <v>111</v>
      </c>
      <c r="G80" s="2" t="s">
        <v>213</v>
      </c>
      <c r="H80" s="3" t="str">
        <f>_xlfn.LET(_xlpm.年限分,IF(L80&lt;=6,1,IF(L80&lt;=12,2,IF(L80&lt;=18,3,4))),_xlpm.区域分,IF(M80="郊区",2,1),_xlpm.总分,_xlpm.年限分+_xlpm.区域分,IF(_xlpm.总分&lt;=3,"低风险",IF(_xlpm.总分=4,"中风险","高风险")))</f>
        <v>低风险</v>
      </c>
      <c r="I80" s="3" t="str">
        <f t="shared" si="2"/>
        <v>地处：郊区，接管年限：3，近两年治安事件：无</v>
      </c>
      <c r="J80" s="5">
        <v>104.120575</v>
      </c>
      <c r="K80" s="5">
        <v>30.398959</v>
      </c>
      <c r="L80" s="2">
        <v>3</v>
      </c>
      <c r="M80" s="4" t="s">
        <v>357</v>
      </c>
      <c r="N80" s="4" t="s">
        <v>422</v>
      </c>
      <c r="O80" s="6" t="s">
        <v>332</v>
      </c>
    </row>
    <row r="81" ht="35" spans="1:15">
      <c r="A81" s="2" t="s">
        <v>227</v>
      </c>
      <c r="B81" s="2" t="s">
        <v>228</v>
      </c>
      <c r="C81" s="2" t="s">
        <v>229</v>
      </c>
      <c r="D81" s="2" t="s">
        <v>62</v>
      </c>
      <c r="E81" s="2" t="s">
        <v>18</v>
      </c>
      <c r="F81" s="2" t="s">
        <v>63</v>
      </c>
      <c r="G81" s="2" t="s">
        <v>230</v>
      </c>
      <c r="H81" s="3" t="str">
        <f>_xlfn.LET(_xlpm.年限分,IF(L81&lt;=6,1,IF(L81&lt;=12,2,IF(L81&lt;=18,3,4))),_xlpm.区域分,IF(M81="郊区",2,1),_xlpm.总分,_xlpm.年限分+_xlpm.区域分,IF(_xlpm.总分&lt;=3,"低风险",IF(_xlpm.总分=4,"中风险","高风险")))</f>
        <v>中风险</v>
      </c>
      <c r="I81" s="3" t="str">
        <f t="shared" si="2"/>
        <v>地处：主城区，接管年限：18，近两年治安事件：无</v>
      </c>
      <c r="J81" s="5">
        <v>104.044972</v>
      </c>
      <c r="K81" s="5">
        <v>30.693231</v>
      </c>
      <c r="L81" s="2">
        <v>18</v>
      </c>
      <c r="M81" s="4" t="s">
        <v>341</v>
      </c>
      <c r="N81" s="4" t="s">
        <v>423</v>
      </c>
      <c r="O81" s="6" t="s">
        <v>332</v>
      </c>
    </row>
    <row r="82" ht="35" spans="1:15">
      <c r="A82" s="2" t="s">
        <v>231</v>
      </c>
      <c r="B82" s="2" t="s">
        <v>228</v>
      </c>
      <c r="C82" s="2" t="s">
        <v>232</v>
      </c>
      <c r="D82" s="2" t="s">
        <v>62</v>
      </c>
      <c r="E82" s="2" t="s">
        <v>18</v>
      </c>
      <c r="F82" s="2" t="s">
        <v>63</v>
      </c>
      <c r="G82" s="2" t="s">
        <v>230</v>
      </c>
      <c r="H82" s="3" t="str">
        <f>_xlfn.LET(_xlpm.年限分,IF(L82&lt;=6,1,IF(L82&lt;=12,2,IF(L82&lt;=18,3,4))),_xlpm.区域分,IF(M82="郊区",2,1),_xlpm.总分,_xlpm.年限分+_xlpm.区域分,IF(_xlpm.总分&lt;=3,"低风险",IF(_xlpm.总分=4,"中风险","高风险")))</f>
        <v>中风险</v>
      </c>
      <c r="I82" s="3" t="str">
        <f t="shared" si="2"/>
        <v>地处：主城区，接管年限：17，近两年治安事件：无</v>
      </c>
      <c r="J82" s="5">
        <v>104.013189</v>
      </c>
      <c r="K82" s="5">
        <v>30.710039</v>
      </c>
      <c r="L82" s="2">
        <v>17</v>
      </c>
      <c r="M82" s="4" t="s">
        <v>341</v>
      </c>
      <c r="N82" s="4" t="s">
        <v>424</v>
      </c>
      <c r="O82" s="6" t="s">
        <v>332</v>
      </c>
    </row>
    <row r="83" ht="35" spans="1:15">
      <c r="A83" s="2" t="s">
        <v>234</v>
      </c>
      <c r="B83" s="2" t="s">
        <v>228</v>
      </c>
      <c r="C83" s="2" t="s">
        <v>235</v>
      </c>
      <c r="D83" s="2" t="s">
        <v>62</v>
      </c>
      <c r="E83" s="2" t="s">
        <v>18</v>
      </c>
      <c r="F83" s="2" t="s">
        <v>63</v>
      </c>
      <c r="G83" s="2" t="s">
        <v>230</v>
      </c>
      <c r="H83" s="3" t="str">
        <f>_xlfn.LET(_xlpm.年限分,IF(L83&lt;=6,1,IF(L83&lt;=12,2,IF(L83&lt;=18,3,4))),_xlpm.区域分,IF(M83="郊区",2,1),_xlpm.总分,_xlpm.年限分+_xlpm.区域分,IF(_xlpm.总分&lt;=3,"低风险",IF(_xlpm.总分=4,"中风险","高风险")))</f>
        <v>低风险</v>
      </c>
      <c r="I83" s="3" t="str">
        <f t="shared" si="2"/>
        <v>地处：主城区，接管年限：9，近两年治安事件：无</v>
      </c>
      <c r="J83" s="5">
        <v>104.003588</v>
      </c>
      <c r="K83" s="5">
        <v>30.717203</v>
      </c>
      <c r="L83" s="2">
        <v>9</v>
      </c>
      <c r="M83" s="4" t="s">
        <v>341</v>
      </c>
      <c r="N83" s="4" t="s">
        <v>425</v>
      </c>
      <c r="O83" s="6" t="s">
        <v>332</v>
      </c>
    </row>
    <row r="84" ht="35" spans="1:15">
      <c r="A84" s="2" t="s">
        <v>236</v>
      </c>
      <c r="B84" s="2" t="s">
        <v>228</v>
      </c>
      <c r="C84" s="2" t="s">
        <v>235</v>
      </c>
      <c r="D84" s="2" t="s">
        <v>62</v>
      </c>
      <c r="E84" s="2" t="s">
        <v>18</v>
      </c>
      <c r="F84" s="2" t="s">
        <v>63</v>
      </c>
      <c r="G84" s="2" t="s">
        <v>230</v>
      </c>
      <c r="H84" s="3" t="str">
        <f>_xlfn.LET(_xlpm.年限分,IF(L84&lt;=6,1,IF(L84&lt;=12,2,IF(L84&lt;=18,3,4))),_xlpm.区域分,IF(M84="郊区",2,1),_xlpm.总分,_xlpm.年限分+_xlpm.区域分,IF(_xlpm.总分&lt;=3,"低风险",IF(_xlpm.总分=4,"中风险","高风险")))</f>
        <v>低风险</v>
      </c>
      <c r="I84" s="3" t="str">
        <f t="shared" si="2"/>
        <v>地处：主城区，接管年限：8，近两年治安事件：无</v>
      </c>
      <c r="J84" s="5">
        <v>103.99466</v>
      </c>
      <c r="K84" s="5">
        <v>30.708894</v>
      </c>
      <c r="L84" s="2">
        <v>8</v>
      </c>
      <c r="M84" s="4" t="s">
        <v>341</v>
      </c>
      <c r="N84" s="4" t="s">
        <v>426</v>
      </c>
      <c r="O84" s="6" t="s">
        <v>332</v>
      </c>
    </row>
    <row r="85" ht="35" spans="1:15">
      <c r="A85" s="2" t="s">
        <v>237</v>
      </c>
      <c r="B85" s="2" t="s">
        <v>228</v>
      </c>
      <c r="C85" s="2" t="s">
        <v>238</v>
      </c>
      <c r="D85" s="2" t="s">
        <v>62</v>
      </c>
      <c r="E85" s="2" t="s">
        <v>18</v>
      </c>
      <c r="F85" s="2" t="s">
        <v>63</v>
      </c>
      <c r="G85" s="2" t="s">
        <v>230</v>
      </c>
      <c r="H85" s="3" t="str">
        <f>_xlfn.LET(_xlpm.年限分,IF(L85&lt;=6,1,IF(L85&lt;=12,2,IF(L85&lt;=18,3,4))),_xlpm.区域分,IF(M85="郊区",2,1),_xlpm.总分,_xlpm.年限分+_xlpm.区域分,IF(_xlpm.总分&lt;=3,"低风险",IF(_xlpm.总分=4,"中风险","高风险")))</f>
        <v>低风险</v>
      </c>
      <c r="I85" s="3" t="str">
        <f t="shared" si="2"/>
        <v>地处：主城区，接管年限：2，近两年治安事件：无</v>
      </c>
      <c r="J85" s="5">
        <v>104.01148</v>
      </c>
      <c r="K85" s="5">
        <v>30.730348</v>
      </c>
      <c r="L85" s="2">
        <v>2</v>
      </c>
      <c r="M85" s="4" t="s">
        <v>341</v>
      </c>
      <c r="N85" s="4" t="s">
        <v>427</v>
      </c>
      <c r="O85" s="6" t="s">
        <v>332</v>
      </c>
    </row>
    <row r="86" ht="35" spans="1:15">
      <c r="A86" s="2" t="s">
        <v>240</v>
      </c>
      <c r="B86" s="2" t="s">
        <v>228</v>
      </c>
      <c r="C86" s="2" t="s">
        <v>238</v>
      </c>
      <c r="D86" s="2" t="s">
        <v>62</v>
      </c>
      <c r="E86" s="2" t="s">
        <v>18</v>
      </c>
      <c r="F86" s="2" t="s">
        <v>63</v>
      </c>
      <c r="G86" s="2" t="s">
        <v>230</v>
      </c>
      <c r="H86" s="3" t="str">
        <f>_xlfn.LET(_xlpm.年限分,IF(L86&lt;=6,1,IF(L86&lt;=12,2,IF(L86&lt;=18,3,4))),_xlpm.区域分,IF(M86="郊区",2,1),_xlpm.总分,_xlpm.年限分+_xlpm.区域分,IF(_xlpm.总分&lt;=3,"低风险",IF(_xlpm.总分=4,"中风险","高风险")))</f>
        <v>低风险</v>
      </c>
      <c r="I86" s="3" t="str">
        <f t="shared" si="2"/>
        <v>地处：主城区，接管年限：3，近两年治安事件：无</v>
      </c>
      <c r="J86" s="5">
        <v>104.02</v>
      </c>
      <c r="K86" s="5">
        <v>30.73</v>
      </c>
      <c r="L86" s="2">
        <v>3</v>
      </c>
      <c r="M86" s="4" t="s">
        <v>341</v>
      </c>
      <c r="N86" s="4" t="s">
        <v>428</v>
      </c>
      <c r="O86" s="6" t="s">
        <v>332</v>
      </c>
    </row>
    <row r="87" ht="35" spans="1:15">
      <c r="A87" s="2" t="s">
        <v>241</v>
      </c>
      <c r="B87" s="2" t="s">
        <v>242</v>
      </c>
      <c r="C87" s="2" t="s">
        <v>243</v>
      </c>
      <c r="D87" s="2" t="s">
        <v>244</v>
      </c>
      <c r="E87" s="2" t="s">
        <v>245</v>
      </c>
      <c r="F87" s="2" t="s">
        <v>246</v>
      </c>
      <c r="G87" s="2" t="s">
        <v>247</v>
      </c>
      <c r="H87" s="3" t="str">
        <f>_xlfn.LET(_xlpm.年限分,IF(L87&lt;=6,1,IF(L87&lt;=12,2,IF(L87&lt;=18,3,4))),_xlpm.区域分,IF(M87="郊区",2,1),_xlpm.总分,_xlpm.年限分+_xlpm.区域分,IF(_xlpm.总分&lt;=3,"低风险",IF(_xlpm.总分=4,"中风险","高风险")))</f>
        <v>中风险</v>
      </c>
      <c r="I87" s="3" t="str">
        <f t="shared" si="2"/>
        <v>地处：郊区，接管年限：11，近两年治安事件：无</v>
      </c>
      <c r="J87" s="5">
        <v>102.780346</v>
      </c>
      <c r="K87" s="5">
        <v>24.956906</v>
      </c>
      <c r="L87" s="2">
        <v>11</v>
      </c>
      <c r="M87" s="4" t="s">
        <v>357</v>
      </c>
      <c r="N87" s="4" t="s">
        <v>429</v>
      </c>
      <c r="O87" s="6" t="s">
        <v>332</v>
      </c>
    </row>
    <row r="88" ht="35" spans="1:15">
      <c r="A88" s="2" t="s">
        <v>248</v>
      </c>
      <c r="B88" s="2" t="s">
        <v>242</v>
      </c>
      <c r="C88" s="2" t="s">
        <v>243</v>
      </c>
      <c r="D88" s="2" t="s">
        <v>244</v>
      </c>
      <c r="E88" s="2" t="s">
        <v>245</v>
      </c>
      <c r="F88" s="2" t="s">
        <v>246</v>
      </c>
      <c r="G88" s="2" t="s">
        <v>247</v>
      </c>
      <c r="H88" s="3" t="str">
        <f>_xlfn.LET(_xlpm.年限分,IF(L88&lt;=6,1,IF(L88&lt;=12,2,IF(L88&lt;=18,3,4))),_xlpm.区域分,IF(M88="郊区",2,1),_xlpm.总分,_xlpm.年限分+_xlpm.区域分,IF(_xlpm.总分&lt;=3,"低风险",IF(_xlpm.总分=4,"中风险","高风险")))</f>
        <v>中风险</v>
      </c>
      <c r="I88" s="3" t="str">
        <f t="shared" si="2"/>
        <v>地处：郊区，接管年限：10，近两年治安事件：无</v>
      </c>
      <c r="J88" s="5">
        <v>102.780346</v>
      </c>
      <c r="K88" s="5">
        <v>24.956906</v>
      </c>
      <c r="L88" s="2">
        <v>10</v>
      </c>
      <c r="M88" s="4" t="s">
        <v>357</v>
      </c>
      <c r="N88" s="4" t="s">
        <v>429</v>
      </c>
      <c r="O88" s="6" t="s">
        <v>332</v>
      </c>
    </row>
    <row r="89" ht="35" spans="1:15">
      <c r="A89" s="2" t="s">
        <v>249</v>
      </c>
      <c r="B89" s="2" t="s">
        <v>242</v>
      </c>
      <c r="C89" s="2" t="s">
        <v>250</v>
      </c>
      <c r="D89" s="2" t="s">
        <v>244</v>
      </c>
      <c r="E89" s="2" t="s">
        <v>245</v>
      </c>
      <c r="F89" s="2" t="s">
        <v>246</v>
      </c>
      <c r="G89" s="2" t="s">
        <v>247</v>
      </c>
      <c r="H89" s="3" t="s">
        <v>21</v>
      </c>
      <c r="I89" s="3" t="str">
        <f t="shared" si="2"/>
        <v>地处：郊区，接管年限：7，近两年治安事件：业主家中物品遗失</v>
      </c>
      <c r="J89" s="5">
        <v>102.780346</v>
      </c>
      <c r="K89" s="5">
        <v>24.956906</v>
      </c>
      <c r="L89" s="2">
        <v>7</v>
      </c>
      <c r="M89" s="4" t="s">
        <v>357</v>
      </c>
      <c r="N89" s="4" t="s">
        <v>429</v>
      </c>
      <c r="O89" s="6" t="s">
        <v>392</v>
      </c>
    </row>
    <row r="90" ht="35" spans="1:15">
      <c r="A90" s="2" t="s">
        <v>251</v>
      </c>
      <c r="B90" s="2" t="s">
        <v>252</v>
      </c>
      <c r="C90" s="2" t="s">
        <v>253</v>
      </c>
      <c r="D90" s="2" t="s">
        <v>254</v>
      </c>
      <c r="E90" s="2" t="s">
        <v>255</v>
      </c>
      <c r="F90" s="2" t="s">
        <v>256</v>
      </c>
      <c r="G90" s="2" t="s">
        <v>257</v>
      </c>
      <c r="H90" s="3" t="str">
        <f>_xlfn.LET(_xlpm.年限分,IF(L90&lt;=6,1,IF(L90&lt;=12,2,IF(L90&lt;=18,3,4))),_xlpm.区域分,IF(M90="郊区",2,1),_xlpm.总分,_xlpm.年限分+_xlpm.区域分,IF(_xlpm.总分&lt;=3,"低风险",IF(_xlpm.总分=4,"中风险","高风险")))</f>
        <v>低风险</v>
      </c>
      <c r="I90" s="3" t="str">
        <f t="shared" si="2"/>
        <v>地处：郊区，接管年限：5，近两年治安事件：无</v>
      </c>
      <c r="J90" s="5">
        <v>102.699256</v>
      </c>
      <c r="K90" s="5">
        <v>25.087308</v>
      </c>
      <c r="L90" s="2">
        <v>5</v>
      </c>
      <c r="M90" s="4" t="s">
        <v>357</v>
      </c>
      <c r="N90" s="4" t="s">
        <v>430</v>
      </c>
      <c r="O90" s="6" t="s">
        <v>332</v>
      </c>
    </row>
    <row r="91" ht="35" spans="1:15">
      <c r="A91" s="2" t="s">
        <v>258</v>
      </c>
      <c r="B91" s="2" t="s">
        <v>252</v>
      </c>
      <c r="C91" s="2" t="s">
        <v>259</v>
      </c>
      <c r="D91" s="2" t="s">
        <v>254</v>
      </c>
      <c r="E91" s="2" t="s">
        <v>255</v>
      </c>
      <c r="F91" s="2" t="s">
        <v>256</v>
      </c>
      <c r="G91" s="2" t="s">
        <v>257</v>
      </c>
      <c r="H91" s="3" t="str">
        <f>_xlfn.LET(_xlpm.年限分,IF(L91&lt;=6,1,IF(L91&lt;=12,2,IF(L91&lt;=18,3,4))),_xlpm.区域分,IF(M91="郊区",2,1),_xlpm.总分,_xlpm.年限分+_xlpm.区域分,IF(_xlpm.总分&lt;=3,"低风险",IF(_xlpm.总分=4,"中风险","高风险")))</f>
        <v>低风险</v>
      </c>
      <c r="I91" s="3" t="str">
        <f t="shared" si="2"/>
        <v>地处：主城区，接管年限：6，近两年治安事件：无</v>
      </c>
      <c r="J91" s="5">
        <v>102.716927</v>
      </c>
      <c r="K91" s="5">
        <v>25.09512</v>
      </c>
      <c r="L91" s="2">
        <v>6</v>
      </c>
      <c r="M91" s="4" t="s">
        <v>341</v>
      </c>
      <c r="N91" s="4" t="s">
        <v>431</v>
      </c>
      <c r="O91" s="6" t="s">
        <v>332</v>
      </c>
    </row>
    <row r="92" ht="35" spans="1:15">
      <c r="A92" s="2" t="s">
        <v>260</v>
      </c>
      <c r="B92" s="2" t="s">
        <v>252</v>
      </c>
      <c r="C92" s="2" t="s">
        <v>261</v>
      </c>
      <c r="D92" s="2" t="s">
        <v>254</v>
      </c>
      <c r="E92" s="2" t="s">
        <v>255</v>
      </c>
      <c r="F92" s="2" t="s">
        <v>256</v>
      </c>
      <c r="G92" s="2" t="s">
        <v>257</v>
      </c>
      <c r="H92" s="3" t="str">
        <f>_xlfn.LET(_xlpm.年限分,IF(L92&lt;=6,1,IF(L92&lt;=12,2,IF(L92&lt;=18,3,4))),_xlpm.区域分,IF(M92="郊区",2,1),_xlpm.总分,_xlpm.年限分+_xlpm.区域分,IF(_xlpm.总分&lt;=3,"低风险",IF(_xlpm.总分=4,"中风险","高风险")))</f>
        <v>低风险</v>
      </c>
      <c r="I92" s="3" t="str">
        <f t="shared" si="2"/>
        <v>地处：主城区，接管年限：5，近两年治安事件：无</v>
      </c>
      <c r="J92" s="5">
        <v>102.714049</v>
      </c>
      <c r="K92" s="5">
        <v>25.077425</v>
      </c>
      <c r="L92" s="2">
        <v>5</v>
      </c>
      <c r="M92" s="4" t="s">
        <v>341</v>
      </c>
      <c r="N92" s="4" t="s">
        <v>432</v>
      </c>
      <c r="O92" s="6" t="s">
        <v>332</v>
      </c>
    </row>
    <row r="93" ht="35" spans="1:15">
      <c r="A93" s="2" t="s">
        <v>262</v>
      </c>
      <c r="B93" s="2" t="s">
        <v>263</v>
      </c>
      <c r="C93" s="2" t="s">
        <v>264</v>
      </c>
      <c r="D93" s="2" t="s">
        <v>254</v>
      </c>
      <c r="E93" s="2" t="s">
        <v>255</v>
      </c>
      <c r="F93" s="2" t="s">
        <v>256</v>
      </c>
      <c r="G93" s="2" t="s">
        <v>265</v>
      </c>
      <c r="H93" s="3" t="str">
        <f>_xlfn.LET(_xlpm.年限分,IF(L93&lt;=6,1,IF(L93&lt;=12,2,IF(L93&lt;=18,3,4))),_xlpm.区域分,IF(M93="郊区",2,1),_xlpm.总分,_xlpm.年限分+_xlpm.区域分,IF(_xlpm.总分&lt;=3,"低风险",IF(_xlpm.总分=4,"中风险","高风险")))</f>
        <v>低风险</v>
      </c>
      <c r="I93" s="3" t="str">
        <f t="shared" si="2"/>
        <v>地处：主城区，接管年限：10，近两年治安事件：无</v>
      </c>
      <c r="J93" s="5">
        <v>102.742361</v>
      </c>
      <c r="K93" s="5">
        <v>25.119413</v>
      </c>
      <c r="L93" s="2">
        <v>10</v>
      </c>
      <c r="M93" s="4" t="s">
        <v>341</v>
      </c>
      <c r="N93" s="4" t="s">
        <v>433</v>
      </c>
      <c r="O93" s="6" t="s">
        <v>332</v>
      </c>
    </row>
    <row r="94" ht="35" spans="1:15">
      <c r="A94" s="2" t="s">
        <v>266</v>
      </c>
      <c r="B94" s="2" t="s">
        <v>263</v>
      </c>
      <c r="C94" s="2" t="s">
        <v>267</v>
      </c>
      <c r="D94" s="2" t="s">
        <v>254</v>
      </c>
      <c r="E94" s="2" t="s">
        <v>255</v>
      </c>
      <c r="F94" s="2" t="s">
        <v>256</v>
      </c>
      <c r="G94" s="2" t="s">
        <v>265</v>
      </c>
      <c r="H94" s="3" t="str">
        <f>_xlfn.LET(_xlpm.年限分,IF(L94&lt;=6,1,IF(L94&lt;=12,2,IF(L94&lt;=18,3,4))),_xlpm.区域分,IF(M94="郊区",2,1),_xlpm.总分,_xlpm.年限分+_xlpm.区域分,IF(_xlpm.总分&lt;=3,"低风险",IF(_xlpm.总分=4,"中风险","高风险")))</f>
        <v>低风险</v>
      </c>
      <c r="I94" s="3" t="str">
        <f t="shared" si="2"/>
        <v>地处：郊区，接管年限：5，近两年治安事件：无</v>
      </c>
      <c r="J94" s="5">
        <v>102.768789</v>
      </c>
      <c r="K94" s="5">
        <v>25.091608</v>
      </c>
      <c r="L94" s="2">
        <v>5</v>
      </c>
      <c r="M94" s="4" t="s">
        <v>357</v>
      </c>
      <c r="N94" s="4" t="s">
        <v>434</v>
      </c>
      <c r="O94" s="6" t="s">
        <v>332</v>
      </c>
    </row>
    <row r="95" ht="35" spans="1:15">
      <c r="A95" s="2" t="s">
        <v>268</v>
      </c>
      <c r="B95" s="2" t="s">
        <v>263</v>
      </c>
      <c r="C95" s="2" t="s">
        <v>267</v>
      </c>
      <c r="D95" s="2" t="s">
        <v>254</v>
      </c>
      <c r="E95" s="2" t="s">
        <v>255</v>
      </c>
      <c r="F95" s="2" t="s">
        <v>256</v>
      </c>
      <c r="G95" s="2" t="s">
        <v>265</v>
      </c>
      <c r="H95" s="3" t="str">
        <f>_xlfn.LET(_xlpm.年限分,IF(L95&lt;=6,1,IF(L95&lt;=12,2,IF(L95&lt;=18,3,4))),_xlpm.区域分,IF(M95="郊区",2,1),_xlpm.总分,_xlpm.年限分+_xlpm.区域分,IF(_xlpm.总分&lt;=3,"低风险",IF(_xlpm.总分=4,"中风险","高风险")))</f>
        <v>低风险</v>
      </c>
      <c r="I95" s="3" t="str">
        <f t="shared" si="2"/>
        <v>地处：主城区，接管年限：6，近两年治安事件：无</v>
      </c>
      <c r="J95" s="5">
        <v>102.762447</v>
      </c>
      <c r="K95" s="5">
        <v>25.125989</v>
      </c>
      <c r="L95" s="2">
        <v>6</v>
      </c>
      <c r="M95" s="4" t="s">
        <v>341</v>
      </c>
      <c r="N95" s="4" t="s">
        <v>435</v>
      </c>
      <c r="O95" s="6" t="s">
        <v>332</v>
      </c>
    </row>
    <row r="96" ht="35" spans="1:15">
      <c r="A96" s="2" t="s">
        <v>269</v>
      </c>
      <c r="B96" s="2" t="s">
        <v>263</v>
      </c>
      <c r="C96" s="2" t="s">
        <v>270</v>
      </c>
      <c r="D96" s="2" t="s">
        <v>254</v>
      </c>
      <c r="E96" s="2" t="s">
        <v>255</v>
      </c>
      <c r="F96" s="2" t="s">
        <v>256</v>
      </c>
      <c r="G96" s="2" t="s">
        <v>265</v>
      </c>
      <c r="H96" s="3" t="str">
        <f>_xlfn.LET(_xlpm.年限分,IF(L96&lt;=6,1,IF(L96&lt;=12,2,IF(L96&lt;=18,3,4))),_xlpm.区域分,IF(M96="郊区",2,1),_xlpm.总分,_xlpm.年限分+_xlpm.区域分,IF(_xlpm.总分&lt;=3,"低风险",IF(_xlpm.总分=4,"中风险","高风险")))</f>
        <v>低风险</v>
      </c>
      <c r="I96" s="3" t="str">
        <f t="shared" si="2"/>
        <v>地处：郊区，接管年限：4，近两年治安事件：无</v>
      </c>
      <c r="J96" s="5">
        <v>102.611809</v>
      </c>
      <c r="K96" s="5">
        <v>25.095013</v>
      </c>
      <c r="L96" s="2">
        <v>4</v>
      </c>
      <c r="M96" s="4" t="s">
        <v>357</v>
      </c>
      <c r="N96" s="4" t="s">
        <v>436</v>
      </c>
      <c r="O96" s="6" t="s">
        <v>332</v>
      </c>
    </row>
    <row r="97" ht="35" spans="1:15">
      <c r="A97" s="2" t="s">
        <v>271</v>
      </c>
      <c r="B97" s="2" t="s">
        <v>272</v>
      </c>
      <c r="C97" s="2" t="s">
        <v>273</v>
      </c>
      <c r="D97" s="2" t="s">
        <v>254</v>
      </c>
      <c r="E97" s="2" t="s">
        <v>255</v>
      </c>
      <c r="F97" s="2" t="s">
        <v>256</v>
      </c>
      <c r="G97" s="2" t="s">
        <v>274</v>
      </c>
      <c r="H97" s="3" t="str">
        <f>_xlfn.LET(_xlpm.年限分,IF(L97&lt;=6,1,IF(L97&lt;=12,2,IF(L97&lt;=18,3,4))),_xlpm.区域分,IF(M97="郊区",2,1),_xlpm.总分,_xlpm.年限分+_xlpm.区域分,IF(_xlpm.总分&lt;=3,"低风险",IF(_xlpm.总分=4,"中风险","高风险")))</f>
        <v>低风险</v>
      </c>
      <c r="I97" s="3" t="str">
        <f t="shared" si="2"/>
        <v>地处：主城区，接管年限：7，近两年治安事件：无</v>
      </c>
      <c r="J97" s="5">
        <v>102.74119</v>
      </c>
      <c r="K97" s="5">
        <v>25.054992</v>
      </c>
      <c r="L97" s="2">
        <v>7</v>
      </c>
      <c r="M97" s="4" t="s">
        <v>341</v>
      </c>
      <c r="N97" s="4" t="s">
        <v>437</v>
      </c>
      <c r="O97" s="6" t="s">
        <v>332</v>
      </c>
    </row>
    <row r="98" ht="35" spans="1:15">
      <c r="A98" s="2" t="s">
        <v>275</v>
      </c>
      <c r="B98" s="2" t="s">
        <v>272</v>
      </c>
      <c r="C98" s="2" t="s">
        <v>273</v>
      </c>
      <c r="D98" s="2" t="s">
        <v>254</v>
      </c>
      <c r="E98" s="2" t="s">
        <v>255</v>
      </c>
      <c r="F98" s="2" t="s">
        <v>256</v>
      </c>
      <c r="G98" s="2" t="s">
        <v>274</v>
      </c>
      <c r="H98" s="3" t="str">
        <f>_xlfn.LET(_xlpm.年限分,IF(L98&lt;=6,1,IF(L98&lt;=12,2,IF(L98&lt;=18,3,4))),_xlpm.区域分,IF(M98="郊区",2,1),_xlpm.总分,_xlpm.年限分+_xlpm.区域分,IF(_xlpm.总分&lt;=3,"低风险",IF(_xlpm.总分=4,"中风险","高风险")))</f>
        <v>低风险</v>
      </c>
      <c r="I98" s="3" t="str">
        <f t="shared" si="2"/>
        <v>地处：主城区，接管年限：6，近两年治安事件：无</v>
      </c>
      <c r="J98" s="5">
        <v>102.741614</v>
      </c>
      <c r="K98" s="5">
        <v>25.054214</v>
      </c>
      <c r="L98" s="2">
        <v>6</v>
      </c>
      <c r="M98" s="4" t="s">
        <v>341</v>
      </c>
      <c r="N98" s="4" t="s">
        <v>438</v>
      </c>
      <c r="O98" s="6" t="s">
        <v>332</v>
      </c>
    </row>
    <row r="99" ht="35" spans="1:15">
      <c r="A99" s="2" t="s">
        <v>276</v>
      </c>
      <c r="B99" s="2" t="s">
        <v>272</v>
      </c>
      <c r="C99" s="2" t="s">
        <v>277</v>
      </c>
      <c r="D99" s="2" t="s">
        <v>254</v>
      </c>
      <c r="E99" s="2" t="s">
        <v>255</v>
      </c>
      <c r="F99" s="2" t="s">
        <v>256</v>
      </c>
      <c r="G99" s="2" t="s">
        <v>274</v>
      </c>
      <c r="H99" s="3" t="str">
        <f>_xlfn.LET(_xlpm.年限分,IF(L99&lt;=6,1,IF(L99&lt;=12,2,IF(L99&lt;=18,3,4))),_xlpm.区域分,IF(M99="郊区",2,1),_xlpm.总分,_xlpm.年限分+_xlpm.区域分,IF(_xlpm.总分&lt;=3,"低风险",IF(_xlpm.总分=4,"中风险","高风险")))</f>
        <v>低风险</v>
      </c>
      <c r="I99" s="3" t="str">
        <f t="shared" ref="I99:I124" si="3">"地处："&amp;M99&amp;"，接管年限："&amp;L99&amp;"，近两年治安事件："&amp;O99</f>
        <v>地处：主城区，接管年限：2，近两年治安事件：无</v>
      </c>
      <c r="J99" s="5">
        <v>102.733673</v>
      </c>
      <c r="K99" s="5">
        <v>25.074855</v>
      </c>
      <c r="L99" s="2">
        <v>2</v>
      </c>
      <c r="M99" s="4" t="s">
        <v>341</v>
      </c>
      <c r="N99" s="4" t="s">
        <v>439</v>
      </c>
      <c r="O99" s="6" t="s">
        <v>332</v>
      </c>
    </row>
    <row r="100" ht="35" spans="1:15">
      <c r="A100" s="2" t="s">
        <v>278</v>
      </c>
      <c r="B100" s="2" t="s">
        <v>279</v>
      </c>
      <c r="C100" s="2" t="s">
        <v>280</v>
      </c>
      <c r="D100" s="2" t="s">
        <v>254</v>
      </c>
      <c r="E100" s="2" t="s">
        <v>255</v>
      </c>
      <c r="F100" s="2" t="s">
        <v>256</v>
      </c>
      <c r="G100" s="2" t="s">
        <v>257</v>
      </c>
      <c r="H100" s="3" t="s">
        <v>21</v>
      </c>
      <c r="I100" s="3" t="str">
        <f t="shared" si="3"/>
        <v>地处：主城区，接管年限：13，近两年治安事件：门口快递遗失</v>
      </c>
      <c r="J100" s="5">
        <v>102.692497</v>
      </c>
      <c r="K100" s="5">
        <v>25.063367</v>
      </c>
      <c r="L100" s="2">
        <v>13</v>
      </c>
      <c r="M100" s="4" t="s">
        <v>341</v>
      </c>
      <c r="N100" s="4" t="s">
        <v>440</v>
      </c>
      <c r="O100" s="6" t="s">
        <v>441</v>
      </c>
    </row>
    <row r="101" ht="35" spans="1:15">
      <c r="A101" s="2" t="s">
        <v>281</v>
      </c>
      <c r="B101" s="2" t="s">
        <v>279</v>
      </c>
      <c r="C101" s="2" t="s">
        <v>282</v>
      </c>
      <c r="D101" s="2" t="s">
        <v>254</v>
      </c>
      <c r="E101" s="2" t="s">
        <v>255</v>
      </c>
      <c r="F101" s="2" t="s">
        <v>256</v>
      </c>
      <c r="G101" s="2" t="s">
        <v>283</v>
      </c>
      <c r="H101" s="3" t="str">
        <f>_xlfn.LET(_xlpm.年限分,IF(L101&lt;=6,1,IF(L101&lt;=12,2,IF(L101&lt;=18,3,4))),_xlpm.区域分,IF(M101="郊区",2,1),_xlpm.总分,_xlpm.年限分+_xlpm.区域分,IF(_xlpm.总分&lt;=3,"低风险",IF(_xlpm.总分=4,"中风险","高风险")))</f>
        <v>高风险</v>
      </c>
      <c r="I101" s="3" t="str">
        <f t="shared" si="3"/>
        <v>地处：郊区，接管年限：13，近两年治安事件：无</v>
      </c>
      <c r="J101" s="5">
        <v>102.654534</v>
      </c>
      <c r="K101" s="5">
        <v>25.053023</v>
      </c>
      <c r="L101" s="2">
        <v>13</v>
      </c>
      <c r="M101" s="4" t="s">
        <v>357</v>
      </c>
      <c r="N101" s="4" t="s">
        <v>442</v>
      </c>
      <c r="O101" s="6" t="s">
        <v>332</v>
      </c>
    </row>
    <row r="102" ht="35" spans="1:15">
      <c r="A102" s="2" t="s">
        <v>284</v>
      </c>
      <c r="B102" s="2" t="s">
        <v>279</v>
      </c>
      <c r="C102" s="2" t="s">
        <v>285</v>
      </c>
      <c r="D102" s="2" t="s">
        <v>254</v>
      </c>
      <c r="E102" s="2" t="s">
        <v>255</v>
      </c>
      <c r="F102" s="2" t="s">
        <v>256</v>
      </c>
      <c r="G102" s="2" t="s">
        <v>283</v>
      </c>
      <c r="H102" s="3" t="str">
        <f>_xlfn.LET(_xlpm.年限分,IF(L102&lt;=6,1,IF(L102&lt;=12,2,IF(L102&lt;=18,3,4))),_xlpm.区域分,IF(M102="郊区",2,1),_xlpm.总分,_xlpm.年限分+_xlpm.区域分,IF(_xlpm.总分&lt;=3,"低风险",IF(_xlpm.总分=4,"中风险","高风险")))</f>
        <v>中风险</v>
      </c>
      <c r="I102" s="3" t="str">
        <f t="shared" si="3"/>
        <v>地处：郊区，接管年限：8，近两年治安事件：无</v>
      </c>
      <c r="J102" s="5">
        <v>102.657399</v>
      </c>
      <c r="K102" s="5">
        <v>25.063275</v>
      </c>
      <c r="L102" s="2">
        <v>8</v>
      </c>
      <c r="M102" s="4" t="s">
        <v>357</v>
      </c>
      <c r="N102" s="4" t="s">
        <v>443</v>
      </c>
      <c r="O102" s="6" t="s">
        <v>332</v>
      </c>
    </row>
    <row r="103" ht="35" spans="1:15">
      <c r="A103" s="2" t="s">
        <v>286</v>
      </c>
      <c r="B103" s="2" t="s">
        <v>279</v>
      </c>
      <c r="C103" s="2" t="s">
        <v>287</v>
      </c>
      <c r="D103" s="2" t="s">
        <v>254</v>
      </c>
      <c r="E103" s="2" t="s">
        <v>255</v>
      </c>
      <c r="F103" s="2" t="s">
        <v>256</v>
      </c>
      <c r="G103" s="2" t="s">
        <v>283</v>
      </c>
      <c r="H103" s="3" t="s">
        <v>21</v>
      </c>
      <c r="I103" s="3" t="str">
        <f t="shared" si="3"/>
        <v>地处：郊区，接管年限：5，近两年治安事件：自行车遗失</v>
      </c>
      <c r="J103" s="5">
        <v>102.671073</v>
      </c>
      <c r="K103" s="5">
        <v>25.085802</v>
      </c>
      <c r="L103" s="2">
        <v>5</v>
      </c>
      <c r="M103" s="4" t="s">
        <v>357</v>
      </c>
      <c r="N103" s="4" t="s">
        <v>444</v>
      </c>
      <c r="O103" s="6" t="s">
        <v>445</v>
      </c>
    </row>
    <row r="104" ht="35" spans="1:15">
      <c r="A104" s="2" t="s">
        <v>288</v>
      </c>
      <c r="B104" s="2" t="s">
        <v>289</v>
      </c>
      <c r="C104" s="2" t="s">
        <v>290</v>
      </c>
      <c r="D104" s="2" t="s">
        <v>244</v>
      </c>
      <c r="E104" s="2" t="s">
        <v>245</v>
      </c>
      <c r="F104" s="2" t="s">
        <v>246</v>
      </c>
      <c r="G104" s="2" t="s">
        <v>291</v>
      </c>
      <c r="H104" s="3" t="str">
        <f>_xlfn.LET(_xlpm.年限分,IF(L104&lt;=6,1,IF(L104&lt;=12,2,IF(L104&lt;=18,3,4))),_xlpm.区域分,IF(M104="郊区",2,1),_xlpm.总分,_xlpm.年限分+_xlpm.区域分,IF(_xlpm.总分&lt;=3,"低风险",IF(_xlpm.总分=4,"中风险","高风险")))</f>
        <v>中风险</v>
      </c>
      <c r="I104" s="3" t="str">
        <f t="shared" si="3"/>
        <v>地处：郊区，接管年限：9，近两年治安事件：无</v>
      </c>
      <c r="J104" s="5">
        <v>102.714463</v>
      </c>
      <c r="K104" s="5">
        <v>25.02987</v>
      </c>
      <c r="L104" s="2">
        <v>9</v>
      </c>
      <c r="M104" s="4" t="s">
        <v>357</v>
      </c>
      <c r="N104" s="4" t="s">
        <v>446</v>
      </c>
      <c r="O104" s="6" t="s">
        <v>332</v>
      </c>
    </row>
    <row r="105" ht="35" spans="1:15">
      <c r="A105" s="2" t="s">
        <v>292</v>
      </c>
      <c r="B105" s="2" t="s">
        <v>289</v>
      </c>
      <c r="C105" s="2" t="s">
        <v>293</v>
      </c>
      <c r="D105" s="2" t="s">
        <v>244</v>
      </c>
      <c r="E105" s="2" t="s">
        <v>245</v>
      </c>
      <c r="F105" s="2" t="s">
        <v>246</v>
      </c>
      <c r="G105" s="2" t="s">
        <v>294</v>
      </c>
      <c r="H105" s="3" t="str">
        <f>_xlfn.LET(_xlpm.年限分,IF(L105&lt;=6,1,IF(L105&lt;=12,2,IF(L105&lt;=18,3,4))),_xlpm.区域分,IF(M105="郊区",2,1),_xlpm.总分,_xlpm.年限分+_xlpm.区域分,IF(_xlpm.总分&lt;=3,"低风险",IF(_xlpm.总分=4,"中风险","高风险")))</f>
        <v>中风险</v>
      </c>
      <c r="I105" s="3" t="str">
        <f t="shared" si="3"/>
        <v>地处：郊区，接管年限：7，近两年治安事件：无</v>
      </c>
      <c r="J105" s="5">
        <v>102.717828</v>
      </c>
      <c r="K105" s="5">
        <v>25.025286</v>
      </c>
      <c r="L105" s="2">
        <v>7</v>
      </c>
      <c r="M105" s="4" t="s">
        <v>357</v>
      </c>
      <c r="N105" s="4" t="s">
        <v>447</v>
      </c>
      <c r="O105" s="6" t="s">
        <v>332</v>
      </c>
    </row>
    <row r="106" ht="35" spans="1:15">
      <c r="A106" s="2" t="s">
        <v>296</v>
      </c>
      <c r="B106" s="2" t="s">
        <v>289</v>
      </c>
      <c r="C106" s="2" t="s">
        <v>297</v>
      </c>
      <c r="D106" s="2" t="s">
        <v>244</v>
      </c>
      <c r="E106" s="2" t="s">
        <v>245</v>
      </c>
      <c r="F106" s="2" t="s">
        <v>246</v>
      </c>
      <c r="G106" s="2" t="s">
        <v>291</v>
      </c>
      <c r="H106" s="3" t="str">
        <f>_xlfn.LET(_xlpm.年限分,IF(L106&lt;=6,1,IF(L106&lt;=12,2,IF(L106&lt;=18,3,4))),_xlpm.区域分,IF(M106="郊区",2,1),_xlpm.总分,_xlpm.年限分+_xlpm.区域分,IF(_xlpm.总分&lt;=3,"低风险",IF(_xlpm.总分=4,"中风险","高风险")))</f>
        <v>低风险</v>
      </c>
      <c r="I106" s="3" t="str">
        <f t="shared" si="3"/>
        <v>地处：郊区，接管年限：6，近两年治安事件：无</v>
      </c>
      <c r="J106" s="5">
        <v>102.695891</v>
      </c>
      <c r="K106" s="5">
        <v>24.946842</v>
      </c>
      <c r="L106" s="2">
        <v>6</v>
      </c>
      <c r="M106" s="4" t="s">
        <v>357</v>
      </c>
      <c r="N106" s="4" t="s">
        <v>448</v>
      </c>
      <c r="O106" s="6" t="s">
        <v>332</v>
      </c>
    </row>
    <row r="107" ht="35" spans="1:15">
      <c r="A107" s="2" t="s">
        <v>298</v>
      </c>
      <c r="B107" s="2" t="s">
        <v>289</v>
      </c>
      <c r="C107" s="2" t="s">
        <v>299</v>
      </c>
      <c r="D107" s="2" t="s">
        <v>244</v>
      </c>
      <c r="E107" s="2" t="s">
        <v>245</v>
      </c>
      <c r="F107" s="2" t="s">
        <v>246</v>
      </c>
      <c r="G107" s="2" t="s">
        <v>294</v>
      </c>
      <c r="H107" s="3" t="str">
        <f>_xlfn.LET(_xlpm.年限分,IF(L107&lt;=6,1,IF(L107&lt;=12,2,IF(L107&lt;=18,3,4))),_xlpm.区域分,IF(M107="郊区",2,1),_xlpm.总分,_xlpm.年限分+_xlpm.区域分,IF(_xlpm.总分&lt;=3,"低风险",IF(_xlpm.总分=4,"中风险","高风险")))</f>
        <v>低风险</v>
      </c>
      <c r="I107" s="3" t="str">
        <f t="shared" si="3"/>
        <v>地处：郊区，接管年限：6，近两年治安事件：无</v>
      </c>
      <c r="J107" s="5">
        <v>102.774469</v>
      </c>
      <c r="K107" s="5">
        <v>24.976609</v>
      </c>
      <c r="L107" s="2">
        <v>6</v>
      </c>
      <c r="M107" s="4" t="s">
        <v>357</v>
      </c>
      <c r="N107" s="4" t="s">
        <v>449</v>
      </c>
      <c r="O107" s="6" t="s">
        <v>332</v>
      </c>
    </row>
    <row r="108" ht="49.5" spans="1:15">
      <c r="A108" s="2" t="s">
        <v>300</v>
      </c>
      <c r="B108" s="2" t="s">
        <v>289</v>
      </c>
      <c r="C108" s="2" t="s">
        <v>301</v>
      </c>
      <c r="D108" s="2" t="s">
        <v>244</v>
      </c>
      <c r="E108" s="2" t="s">
        <v>245</v>
      </c>
      <c r="F108" s="2" t="s">
        <v>246</v>
      </c>
      <c r="G108" s="2" t="s">
        <v>291</v>
      </c>
      <c r="H108" s="3" t="str">
        <f>_xlfn.LET(_xlpm.年限分,IF(L108&lt;=6,1,IF(L108&lt;=12,2,IF(L108&lt;=18,3,4))),_xlpm.区域分,IF(M108="郊区",2,1),_xlpm.总分,_xlpm.年限分+_xlpm.区域分,IF(_xlpm.总分&lt;=3,"低风险",IF(_xlpm.总分=4,"中风险","高风险")))</f>
        <v>低风险</v>
      </c>
      <c r="I108" s="3" t="str">
        <f t="shared" si="3"/>
        <v>地处：郊区，接管年限：5，近两年治安事件：无</v>
      </c>
      <c r="J108" s="5">
        <v>102.699675</v>
      </c>
      <c r="K108" s="5">
        <v>24.947529</v>
      </c>
      <c r="L108" s="2">
        <v>5</v>
      </c>
      <c r="M108" s="4" t="s">
        <v>357</v>
      </c>
      <c r="N108" s="4" t="s">
        <v>450</v>
      </c>
      <c r="O108" s="6" t="s">
        <v>332</v>
      </c>
    </row>
    <row r="109" ht="35" spans="1:15">
      <c r="A109" s="2" t="s">
        <v>302</v>
      </c>
      <c r="B109" s="2" t="s">
        <v>289</v>
      </c>
      <c r="C109" s="2" t="s">
        <v>303</v>
      </c>
      <c r="D109" s="2" t="s">
        <v>244</v>
      </c>
      <c r="E109" s="2" t="s">
        <v>245</v>
      </c>
      <c r="F109" s="2" t="s">
        <v>246</v>
      </c>
      <c r="G109" s="2" t="s">
        <v>294</v>
      </c>
      <c r="H109" s="3" t="str">
        <f>_xlfn.LET(_xlpm.年限分,IF(L109&lt;=6,1,IF(L109&lt;=12,2,IF(L109&lt;=18,3,4))),_xlpm.区域分,IF(M109="郊区",2,1),_xlpm.总分,_xlpm.年限分+_xlpm.区域分,IF(_xlpm.总分&lt;=3,"低风险",IF(_xlpm.总分=4,"中风险","高风险")))</f>
        <v>低风险</v>
      </c>
      <c r="I109" s="3" t="str">
        <f t="shared" si="3"/>
        <v>地处：郊区，接管年限：4，近两年治安事件：无</v>
      </c>
      <c r="J109" s="5">
        <v>102.73906</v>
      </c>
      <c r="K109" s="5">
        <v>24.971869</v>
      </c>
      <c r="L109" s="2">
        <v>4</v>
      </c>
      <c r="M109" s="4" t="s">
        <v>357</v>
      </c>
      <c r="N109" s="4" t="s">
        <v>451</v>
      </c>
      <c r="O109" s="6" t="s">
        <v>332</v>
      </c>
    </row>
    <row r="110" ht="35" spans="1:15">
      <c r="A110" s="2" t="s">
        <v>304</v>
      </c>
      <c r="B110" s="2" t="s">
        <v>80</v>
      </c>
      <c r="C110" s="2" t="s">
        <v>305</v>
      </c>
      <c r="D110" s="2" t="s">
        <v>62</v>
      </c>
      <c r="E110" s="2" t="s">
        <v>18</v>
      </c>
      <c r="F110" s="2" t="s">
        <v>63</v>
      </c>
      <c r="G110" s="2" t="s">
        <v>76</v>
      </c>
      <c r="H110" s="3" t="str">
        <f>_xlfn.LET(_xlpm.年限分,IF(L110&lt;=6,1,IF(L110&lt;=12,2,IF(L110&lt;=18,3,4))),_xlpm.区域分,IF(M110="郊区",2,1),_xlpm.总分,_xlpm.年限分+_xlpm.区域分,IF(_xlpm.总分&lt;=3,"低风险",IF(_xlpm.总分=4,"中风险","高风险")))</f>
        <v>低风险</v>
      </c>
      <c r="I110" s="3" t="str">
        <f t="shared" si="3"/>
        <v>地处：郊区，接管年限：6，近两年治安事件：无</v>
      </c>
      <c r="J110" s="5">
        <v>103.95061</v>
      </c>
      <c r="K110" s="5">
        <v>30.770008</v>
      </c>
      <c r="L110" s="2">
        <v>6</v>
      </c>
      <c r="M110" s="4" t="s">
        <v>357</v>
      </c>
      <c r="N110" s="4" t="s">
        <v>452</v>
      </c>
      <c r="O110" s="6" t="s">
        <v>332</v>
      </c>
    </row>
    <row r="111" ht="35" spans="1:15">
      <c r="A111" s="2" t="s">
        <v>306</v>
      </c>
      <c r="B111" s="2" t="s">
        <v>80</v>
      </c>
      <c r="C111" s="2" t="s">
        <v>307</v>
      </c>
      <c r="D111" s="2" t="s">
        <v>254</v>
      </c>
      <c r="E111" s="2" t="s">
        <v>255</v>
      </c>
      <c r="F111" s="2" t="s">
        <v>256</v>
      </c>
      <c r="G111" s="2" t="s">
        <v>265</v>
      </c>
      <c r="H111" s="3" t="str">
        <f>_xlfn.LET(_xlpm.年限分,IF(L111&lt;=6,1,IF(L111&lt;=12,2,IF(L111&lt;=18,3,4))),_xlpm.区域分,IF(M111="郊区",2,1),_xlpm.总分,_xlpm.年限分+_xlpm.区域分,IF(_xlpm.总分&lt;=3,"低风险",IF(_xlpm.总分=4,"中风险","高风险")))</f>
        <v>高风险</v>
      </c>
      <c r="I111" s="3" t="str">
        <f t="shared" si="3"/>
        <v>地处：郊区，接管年限：14，近两年治安事件：无</v>
      </c>
      <c r="J111" s="5">
        <v>102.743271</v>
      </c>
      <c r="K111" s="5">
        <v>25.11076</v>
      </c>
      <c r="L111" s="2">
        <v>14</v>
      </c>
      <c r="M111" s="4" t="s">
        <v>357</v>
      </c>
      <c r="N111" s="4" t="s">
        <v>453</v>
      </c>
      <c r="O111" s="6" t="s">
        <v>332</v>
      </c>
    </row>
    <row r="112" ht="35" spans="1:15">
      <c r="A112" s="2" t="s">
        <v>308</v>
      </c>
      <c r="B112" s="2" t="s">
        <v>80</v>
      </c>
      <c r="C112" s="2" t="s">
        <v>309</v>
      </c>
      <c r="D112" s="2" t="s">
        <v>244</v>
      </c>
      <c r="E112" s="2" t="s">
        <v>245</v>
      </c>
      <c r="F112" s="2" t="s">
        <v>246</v>
      </c>
      <c r="G112" s="2" t="s">
        <v>247</v>
      </c>
      <c r="H112" s="3" t="str">
        <f>_xlfn.LET(_xlpm.年限分,IF(L112&lt;=6,1,IF(L112&lt;=12,2,IF(L112&lt;=18,3,4))),_xlpm.区域分,IF(M112="郊区",2,1),_xlpm.总分,_xlpm.年限分+_xlpm.区域分,IF(_xlpm.总分&lt;=3,"低风险",IF(_xlpm.总分=4,"中风险","高风险")))</f>
        <v>低风险</v>
      </c>
      <c r="I112" s="3" t="str">
        <f t="shared" si="3"/>
        <v>地处：主城区，接管年限：9，近两年治安事件：无</v>
      </c>
      <c r="J112" s="5">
        <v>102.767799</v>
      </c>
      <c r="K112" s="5">
        <v>24.985322</v>
      </c>
      <c r="L112" s="2">
        <v>9</v>
      </c>
      <c r="M112" s="4" t="s">
        <v>341</v>
      </c>
      <c r="N112" s="4" t="s">
        <v>454</v>
      </c>
      <c r="O112" s="6" t="s">
        <v>332</v>
      </c>
    </row>
    <row r="113" ht="35" spans="1:15">
      <c r="A113" s="3" t="s">
        <v>310</v>
      </c>
      <c r="B113" s="2" t="s">
        <v>80</v>
      </c>
      <c r="C113" s="2" t="s">
        <v>311</v>
      </c>
      <c r="D113" s="2" t="s">
        <v>144</v>
      </c>
      <c r="E113" s="2" t="s">
        <v>110</v>
      </c>
      <c r="F113" s="2" t="s">
        <v>111</v>
      </c>
      <c r="G113" s="2" t="s">
        <v>312</v>
      </c>
      <c r="H113" s="3" t="str">
        <f>_xlfn.LET(_xlpm.年限分,IF(L113&lt;=6,1,IF(L113&lt;=12,2,IF(L113&lt;=18,3,4))),_xlpm.区域分,IF(M113="郊区",2,1),_xlpm.总分,_xlpm.年限分+_xlpm.区域分,IF(_xlpm.总分&lt;=3,"低风险",IF(_xlpm.总分=4,"中风险","高风险")))</f>
        <v>低风险</v>
      </c>
      <c r="I113" s="3" t="str">
        <f t="shared" si="3"/>
        <v>地处：主城区，接管年限：2，近两年治安事件：无</v>
      </c>
      <c r="J113" s="5">
        <v>104.141467</v>
      </c>
      <c r="K113" s="5">
        <v>30.715804</v>
      </c>
      <c r="L113" s="2">
        <v>2</v>
      </c>
      <c r="M113" s="4" t="s">
        <v>341</v>
      </c>
      <c r="N113" s="4" t="s">
        <v>455</v>
      </c>
      <c r="O113" s="6" t="s">
        <v>332</v>
      </c>
    </row>
    <row r="114" ht="35" spans="1:15">
      <c r="A114" s="2" t="s">
        <v>313</v>
      </c>
      <c r="B114" s="2" t="s">
        <v>130</v>
      </c>
      <c r="C114" s="2" t="s">
        <v>314</v>
      </c>
      <c r="D114" s="2" t="s">
        <v>62</v>
      </c>
      <c r="E114" s="2" t="s">
        <v>18</v>
      </c>
      <c r="F114" s="2" t="s">
        <v>63</v>
      </c>
      <c r="G114" s="2" t="s">
        <v>132</v>
      </c>
      <c r="H114" s="3" t="str">
        <f>_xlfn.LET(_xlpm.年限分,IF(L114&lt;=6,1,IF(L114&lt;=12,2,IF(L114&lt;=18,3,4))),_xlpm.区域分,IF(M114="郊区",2,1),_xlpm.总分,_xlpm.年限分+_xlpm.区域分,IF(_xlpm.总分&lt;=3,"低风险",IF(_xlpm.总分=4,"中风险","高风险")))</f>
        <v>低风险</v>
      </c>
      <c r="I114" s="3" t="str">
        <f t="shared" si="3"/>
        <v>地处：郊区，接管年限：2，近两年治安事件：无</v>
      </c>
      <c r="J114" s="5">
        <v>103.978542</v>
      </c>
      <c r="K114" s="5">
        <v>30.748312</v>
      </c>
      <c r="L114" s="2">
        <v>2</v>
      </c>
      <c r="M114" s="4" t="s">
        <v>357</v>
      </c>
      <c r="N114" s="4" t="s">
        <v>456</v>
      </c>
      <c r="O114" s="6" t="s">
        <v>332</v>
      </c>
    </row>
    <row r="115" ht="35" spans="1:15">
      <c r="A115" s="2" t="s">
        <v>315</v>
      </c>
      <c r="B115" s="2" t="s">
        <v>80</v>
      </c>
      <c r="C115" s="2" t="s">
        <v>316</v>
      </c>
      <c r="D115" s="2" t="s">
        <v>109</v>
      </c>
      <c r="E115" s="2" t="s">
        <v>110</v>
      </c>
      <c r="F115" s="2" t="s">
        <v>111</v>
      </c>
      <c r="G115" s="2" t="s">
        <v>112</v>
      </c>
      <c r="H115" s="3" t="str">
        <f>_xlfn.LET(_xlpm.年限分,IF(L115&lt;=6,1,IF(L115&lt;=12,2,IF(L115&lt;=18,3,4))),_xlpm.区域分,IF(M115="郊区",2,1),_xlpm.总分,_xlpm.年限分+_xlpm.区域分,IF(_xlpm.总分&lt;=3,"低风险",IF(_xlpm.总分=4,"中风险","高风险")))</f>
        <v>低风险</v>
      </c>
      <c r="I115" s="3" t="str">
        <f t="shared" si="3"/>
        <v>地处：郊区，接管年限：1，近两年治安事件：无</v>
      </c>
      <c r="J115" s="5">
        <v>104.208946</v>
      </c>
      <c r="K115" s="5">
        <v>30.581662</v>
      </c>
      <c r="L115" s="2">
        <v>1</v>
      </c>
      <c r="M115" s="4" t="s">
        <v>357</v>
      </c>
      <c r="N115" s="4" t="s">
        <v>457</v>
      </c>
      <c r="O115" s="6" t="s">
        <v>332</v>
      </c>
    </row>
    <row r="116" ht="35" spans="1:15">
      <c r="A116" s="7" t="s">
        <v>317</v>
      </c>
      <c r="B116" s="2" t="s">
        <v>80</v>
      </c>
      <c r="C116" s="2" t="s">
        <v>318</v>
      </c>
      <c r="D116" s="2" t="s">
        <v>109</v>
      </c>
      <c r="E116" s="2" t="s">
        <v>110</v>
      </c>
      <c r="F116" s="2" t="s">
        <v>111</v>
      </c>
      <c r="G116" s="2" t="s">
        <v>319</v>
      </c>
      <c r="H116" s="3" t="str">
        <f>_xlfn.LET(_xlpm.年限分,IF(L116&lt;=6,1,IF(L116&lt;=12,2,IF(L116&lt;=18,3,4))),_xlpm.区域分,IF(M116="郊区",2,1),_xlpm.总分,_xlpm.年限分+_xlpm.区域分,IF(_xlpm.总分&lt;=3,"低风险",IF(_xlpm.总分=4,"中风险","高风险")))</f>
        <v>低风险</v>
      </c>
      <c r="I116" s="3" t="str">
        <f t="shared" si="3"/>
        <v>地处：郊区，接管年限：1，近两年治安事件：无</v>
      </c>
      <c r="J116" s="5">
        <v>104.246193</v>
      </c>
      <c r="K116" s="5">
        <v>30.584604</v>
      </c>
      <c r="L116" s="2">
        <v>1</v>
      </c>
      <c r="M116" s="4" t="s">
        <v>357</v>
      </c>
      <c r="N116" s="4" t="s">
        <v>458</v>
      </c>
      <c r="O116" s="6" t="s">
        <v>332</v>
      </c>
    </row>
    <row r="117" ht="35" spans="1:15">
      <c r="A117" s="2" t="s">
        <v>320</v>
      </c>
      <c r="B117" s="2" t="s">
        <v>80</v>
      </c>
      <c r="C117" s="5" t="s">
        <v>321</v>
      </c>
      <c r="D117" s="2" t="s">
        <v>17</v>
      </c>
      <c r="E117" s="2" t="s">
        <v>18</v>
      </c>
      <c r="F117" s="2" t="s">
        <v>19</v>
      </c>
      <c r="G117" s="2" t="s">
        <v>319</v>
      </c>
      <c r="H117" s="3" t="str">
        <f>_xlfn.LET(_xlpm.年限分,IF(L117&lt;=6,1,IF(L117&lt;=12,2,IF(L117&lt;=18,3,4))),_xlpm.区域分,IF(M117="郊区",2,1),_xlpm.总分,_xlpm.年限分+_xlpm.区域分,IF(_xlpm.总分&lt;=3,"低风险",IF(_xlpm.总分=4,"中风险","高风险")))</f>
        <v>低风险</v>
      </c>
      <c r="I117" s="3" t="str">
        <f t="shared" si="3"/>
        <v>地处：主城区，接管年限：4，近两年治安事件：无</v>
      </c>
      <c r="J117" s="5">
        <v>116.837991</v>
      </c>
      <c r="K117" s="5">
        <v>39.957292</v>
      </c>
      <c r="L117" s="2">
        <v>4</v>
      </c>
      <c r="M117" s="4" t="s">
        <v>341</v>
      </c>
      <c r="N117" s="4" t="s">
        <v>459</v>
      </c>
      <c r="O117" s="6" t="s">
        <v>332</v>
      </c>
    </row>
    <row r="118" ht="35" spans="1:15">
      <c r="A118" s="2" t="s">
        <v>322</v>
      </c>
      <c r="B118" s="2" t="s">
        <v>80</v>
      </c>
      <c r="C118" s="5" t="s">
        <v>321</v>
      </c>
      <c r="D118" s="2" t="s">
        <v>17</v>
      </c>
      <c r="E118" s="2" t="s">
        <v>18</v>
      </c>
      <c r="F118" s="2" t="s">
        <v>19</v>
      </c>
      <c r="G118" s="2" t="s">
        <v>319</v>
      </c>
      <c r="H118" s="3" t="str">
        <f>_xlfn.LET(_xlpm.年限分,IF(L118&lt;=6,1,IF(L118&lt;=12,2,IF(L118&lt;=18,3,4))),_xlpm.区域分,IF(M118="郊区",2,1),_xlpm.总分,_xlpm.年限分+_xlpm.区域分,IF(_xlpm.总分&lt;=3,"低风险",IF(_xlpm.总分=4,"中风险","高风险")))</f>
        <v>低风险</v>
      </c>
      <c r="I118" s="3" t="str">
        <f t="shared" si="3"/>
        <v>地处：主城区，接管年限：5，近两年治安事件：无</v>
      </c>
      <c r="J118" s="5">
        <v>116.837991</v>
      </c>
      <c r="K118" s="5">
        <v>39.957292</v>
      </c>
      <c r="L118" s="2">
        <v>5</v>
      </c>
      <c r="M118" s="4" t="s">
        <v>341</v>
      </c>
      <c r="N118" s="4" t="s">
        <v>459</v>
      </c>
      <c r="O118" s="6" t="s">
        <v>332</v>
      </c>
    </row>
    <row r="119" ht="35" spans="1:15">
      <c r="A119" s="2" t="s">
        <v>315</v>
      </c>
      <c r="B119" s="2" t="s">
        <v>80</v>
      </c>
      <c r="C119" s="2" t="s">
        <v>316</v>
      </c>
      <c r="D119" s="2" t="s">
        <v>109</v>
      </c>
      <c r="E119" s="2" t="s">
        <v>110</v>
      </c>
      <c r="F119" s="2" t="s">
        <v>111</v>
      </c>
      <c r="G119" s="2" t="s">
        <v>319</v>
      </c>
      <c r="H119" s="3" t="str">
        <f>_xlfn.LET(_xlpm.年限分,IF(L119&lt;=6,1,IF(L119&lt;=12,2,IF(L119&lt;=18,3,4))),_xlpm.区域分,IF(M119="郊区",2,1),_xlpm.总分,_xlpm.年限分+_xlpm.区域分,IF(_xlpm.总分&lt;=3,"低风险",IF(_xlpm.总分=4,"中风险","高风险")))</f>
        <v>低风险</v>
      </c>
      <c r="I119" s="3" t="str">
        <f t="shared" si="3"/>
        <v>地处：郊区，接管年限：1，近两年治安事件：无</v>
      </c>
      <c r="J119" s="5">
        <v>104.208946</v>
      </c>
      <c r="K119" s="5">
        <v>30.581662</v>
      </c>
      <c r="L119" s="2">
        <v>1</v>
      </c>
      <c r="M119" s="4" t="s">
        <v>357</v>
      </c>
      <c r="N119" s="4" t="s">
        <v>457</v>
      </c>
      <c r="O119" s="6" t="s">
        <v>332</v>
      </c>
    </row>
    <row r="120" ht="35" spans="1:15">
      <c r="A120" s="9" t="s">
        <v>323</v>
      </c>
      <c r="B120" s="2" t="s">
        <v>80</v>
      </c>
      <c r="C120" s="5"/>
      <c r="D120" s="9" t="s">
        <v>85</v>
      </c>
      <c r="E120" s="2" t="s">
        <v>86</v>
      </c>
      <c r="F120" s="2" t="s">
        <v>87</v>
      </c>
      <c r="G120" s="2" t="s">
        <v>319</v>
      </c>
      <c r="H120" s="3" t="str">
        <f>_xlfn.LET(_xlpm.年限分,IF(L120&lt;=6,1,IF(L120&lt;=12,2,IF(L120&lt;=18,3,4))),_xlpm.区域分,IF(M120="郊区",2,1),_xlpm.总分,_xlpm.年限分+_xlpm.区域分,IF(_xlpm.总分&lt;=3,"低风险",IF(_xlpm.总分=4,"中风险","高风险")))</f>
        <v>低风险</v>
      </c>
      <c r="I120" s="3" t="str">
        <f t="shared" si="3"/>
        <v>地处：主城区，接管年限：7，近两年治安事件：无</v>
      </c>
      <c r="J120" s="5">
        <v>103.82</v>
      </c>
      <c r="K120" s="5">
        <v>30.49</v>
      </c>
      <c r="L120" s="2">
        <v>7</v>
      </c>
      <c r="M120" s="4" t="s">
        <v>341</v>
      </c>
      <c r="N120" s="4" t="s">
        <v>460</v>
      </c>
      <c r="O120" s="6" t="s">
        <v>332</v>
      </c>
    </row>
    <row r="121" ht="35" spans="1:15">
      <c r="A121" s="9" t="s">
        <v>324</v>
      </c>
      <c r="B121" s="2" t="s">
        <v>80</v>
      </c>
      <c r="C121" s="9" t="s">
        <v>325</v>
      </c>
      <c r="D121" s="9" t="s">
        <v>62</v>
      </c>
      <c r="E121" s="9" t="s">
        <v>18</v>
      </c>
      <c r="F121" s="2" t="s">
        <v>63</v>
      </c>
      <c r="G121" s="2" t="s">
        <v>319</v>
      </c>
      <c r="H121" s="3" t="str">
        <f>_xlfn.LET(_xlpm.年限分,IF(L121&lt;=6,1,IF(L121&lt;=12,2,IF(L121&lt;=18,3,4))),_xlpm.区域分,IF(M121="郊区",2,1),_xlpm.总分,_xlpm.年限分+_xlpm.区域分,IF(_xlpm.总分&lt;=3,"低风险",IF(_xlpm.总分=4,"中风险","高风险")))</f>
        <v>低风险</v>
      </c>
      <c r="I121" s="3" t="str">
        <f t="shared" si="3"/>
        <v>地处：郊区，接管年限：0，近两年治安事件：无</v>
      </c>
      <c r="J121" s="5">
        <v>103.954308</v>
      </c>
      <c r="K121" s="5">
        <v>30.790306</v>
      </c>
      <c r="L121" s="2">
        <v>0</v>
      </c>
      <c r="M121" s="4" t="s">
        <v>357</v>
      </c>
      <c r="N121" s="4" t="s">
        <v>461</v>
      </c>
      <c r="O121" s="6" t="s">
        <v>332</v>
      </c>
    </row>
    <row r="122" ht="35" spans="1:15">
      <c r="A122" s="9" t="s">
        <v>326</v>
      </c>
      <c r="B122" s="2" t="s">
        <v>80</v>
      </c>
      <c r="C122" s="5"/>
      <c r="D122" s="9" t="s">
        <v>85</v>
      </c>
      <c r="E122" s="2" t="s">
        <v>86</v>
      </c>
      <c r="F122" s="2" t="s">
        <v>87</v>
      </c>
      <c r="G122" s="2" t="s">
        <v>319</v>
      </c>
      <c r="H122" s="3" t="str">
        <f>_xlfn.LET(_xlpm.年限分,IF(L122&lt;=6,1,IF(L122&lt;=12,2,IF(L122&lt;=18,3,4))),_xlpm.区域分,IF(M122="郊区",2,1),_xlpm.总分,_xlpm.年限分+_xlpm.区域分,IF(_xlpm.总分&lt;=3,"低风险",IF(_xlpm.总分=4,"中风险","高风险")))</f>
        <v>低风险</v>
      </c>
      <c r="I122" s="3" t="str">
        <f t="shared" si="3"/>
        <v>地处：主城区，接管年限：1，近两年治安事件：无</v>
      </c>
      <c r="J122" s="5">
        <v>104.053439</v>
      </c>
      <c r="K122" s="5">
        <v>30.560547</v>
      </c>
      <c r="L122" s="2">
        <v>1</v>
      </c>
      <c r="M122" s="4" t="s">
        <v>341</v>
      </c>
      <c r="N122" s="4" t="s">
        <v>462</v>
      </c>
      <c r="O122" s="6" t="s">
        <v>332</v>
      </c>
    </row>
    <row r="123" ht="35" spans="1:15">
      <c r="A123" s="5" t="s">
        <v>327</v>
      </c>
      <c r="B123" s="5" t="s">
        <v>80</v>
      </c>
      <c r="C123" s="5"/>
      <c r="D123" s="10" t="s">
        <v>144</v>
      </c>
      <c r="E123" s="5" t="s">
        <v>110</v>
      </c>
      <c r="F123" s="2" t="s">
        <v>111</v>
      </c>
      <c r="G123" s="2" t="s">
        <v>319</v>
      </c>
      <c r="H123" s="3" t="str">
        <f>_xlfn.LET(_xlpm.年限分,IF(L123&lt;=6,1,IF(L123&lt;=12,2,IF(L123&lt;=18,3,4))),_xlpm.区域分,IF(M123="郊区",2,1),_xlpm.总分,_xlpm.年限分+_xlpm.区域分,IF(_xlpm.总分&lt;=3,"低风险",IF(_xlpm.总分=4,"中风险","高风险")))</f>
        <v>低风险</v>
      </c>
      <c r="I123" s="3" t="str">
        <f t="shared" si="3"/>
        <v>地处：主城区，接管年限：0，近两年治安事件：无</v>
      </c>
      <c r="J123" s="5">
        <v>104.172366</v>
      </c>
      <c r="K123" s="5">
        <v>30.678108</v>
      </c>
      <c r="L123" s="2">
        <v>0</v>
      </c>
      <c r="M123" s="4" t="s">
        <v>341</v>
      </c>
      <c r="N123" s="4" t="s">
        <v>463</v>
      </c>
      <c r="O123" s="6" t="s">
        <v>332</v>
      </c>
    </row>
    <row r="124" ht="35" spans="1:15">
      <c r="A124" s="2" t="s">
        <v>328</v>
      </c>
      <c r="B124" s="5" t="s">
        <v>80</v>
      </c>
      <c r="C124" s="5" t="s">
        <v>321</v>
      </c>
      <c r="D124" s="2" t="s">
        <v>17</v>
      </c>
      <c r="E124" s="2" t="s">
        <v>18</v>
      </c>
      <c r="F124" s="2" t="s">
        <v>19</v>
      </c>
      <c r="G124" s="2" t="s">
        <v>319</v>
      </c>
      <c r="H124" s="3" t="str">
        <f>_xlfn.LET(_xlpm.年限分,IF(L124&lt;=6,1,IF(L124&lt;=12,2,IF(L124&lt;=18,3,4))),_xlpm.区域分,IF(M124="郊区",2,1),_xlpm.总分,_xlpm.年限分+_xlpm.区域分,IF(_xlpm.总分&lt;=3,"低风险",IF(_xlpm.总分=4,"中风险","高风险")))</f>
        <v>低风险</v>
      </c>
      <c r="I124" s="3" t="str">
        <f t="shared" si="3"/>
        <v>地处：主城区，接管年限：0，近两年治安事件：无</v>
      </c>
      <c r="J124" s="5">
        <v>102.283447</v>
      </c>
      <c r="K124" s="5">
        <v>27.872229</v>
      </c>
      <c r="L124" s="2">
        <v>0</v>
      </c>
      <c r="M124" s="4" t="s">
        <v>341</v>
      </c>
      <c r="N124" s="4" t="s">
        <v>464</v>
      </c>
      <c r="O124" s="6" t="s">
        <v>332</v>
      </c>
    </row>
  </sheetData>
  <conditionalFormatting sqref="A124">
    <cfRule type="duplicateValues" dxfId="0" priority="1"/>
  </conditionalFormatting>
  <conditionalFormatting sqref="A1:A24 A26:A77 A79 A81:A118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防汛</vt:lpstr>
      <vt:lpstr>消防</vt:lpstr>
      <vt:lpstr>治安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25531</cp:lastModifiedBy>
  <dcterms:created xsi:type="dcterms:W3CDTF">2023-05-12T11:15:00Z</dcterms:created>
  <dcterms:modified xsi:type="dcterms:W3CDTF">2026-09-17T04:01:11Z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94B0565F78014CD9B768AF119FA1EF92_12</vt:lpwstr>
  </property>
  <property fmtid="{D5CDD505-2E9C-101B-9397-08002B2CF9AE}" pid="4" name="CalculationRule">
    <vt:i4>0</vt:i4>
  </property>
</Properties>
</file>